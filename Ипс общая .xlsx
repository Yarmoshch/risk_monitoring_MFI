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>
    <definedName hidden="1" localSheetId="0" name="Z_5D2AF718_6DC8_4909_8328_2A41C3335550_.wvu.FilterData">'Лист1'!$A$1:$Y$20</definedName>
  </definedNames>
  <calcPr/>
  <customWorkbookViews>
    <customWorkbookView activeSheetId="0" maximized="1" windowHeight="0" windowWidth="0" guid="{5D2AF718-6DC8-4909-8328-2A41C3335550}" name="Основание группировки: &quot;Раздел (Категория)&quot;"/>
  </customWorkbookViews>
</workbook>
</file>

<file path=xl/sharedStrings.xml><?xml version="1.0" encoding="utf-8"?>
<sst xmlns="http://schemas.openxmlformats.org/spreadsheetml/2006/main" count="304" uniqueCount="216">
  <si>
    <t>№</t>
  </si>
  <si>
    <t>Блок</t>
  </si>
  <si>
    <t>Раздел (Категория)</t>
  </si>
  <si>
    <t>Тип записи</t>
  </si>
  <si>
    <t>Конкретный показатель / KPI / Фактор риска</t>
  </si>
  <si>
    <t>Отражаемый риск (пояснение)</t>
  </si>
  <si>
    <t>Содержание показателя / Что отслеживать</t>
  </si>
  <si>
    <t>Источник данных / Нормативный акт</t>
  </si>
  <si>
    <t>Целевое значение / Норматив</t>
  </si>
  <si>
    <t>Что отслеживать</t>
  </si>
  <si>
    <t>Формула / Метод расчёта</t>
  </si>
  <si>
    <t>Направление риска</t>
  </si>
  <si>
    <t>Вес в рейтинге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</si>
  <si>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</si>
  <si>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</si>
  <si>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</si>
  <si>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</si>
  <si>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</si>
  <si>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</si>
  <si>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</si>
  <si>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</si>
  <si>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</si>
  <si>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</si>
  <si>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</si>
  <si>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</si>
  <si>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Финансовый</t>
  </si>
  <si>
    <t>Капитал и достаточность</t>
  </si>
  <si>
    <t>KPI</t>
  </si>
  <si>
    <t>Норматив достаточности собственных средств (капитала) (Н1)</t>
  </si>
  <si>
    <t>Риск потери финансовой устойчивости</t>
  </si>
  <si>
    <t>Фактическое значение норматива, его динамика, близость к минимально допустимому уровню</t>
  </si>
  <si>
    <t>Расчёт по Указанию 3916-У</t>
  </si>
  <si>
    <t>≥ 5% (КПК, чл. &gt;200);
≥ 4% (чл. ≤200);
≥ 2% (стаж &lt;180 дн. и ≤100 чл.)</t>
  </si>
  <si>
    <t>Факт. значение, динамика, буфер прочности</t>
  </si>
  <si>
    <t>(Собственный капитал / (Активы - ДС)) * 100%</t>
  </si>
  <si>
    <t>Выше → лучше</t>
  </si>
  <si>
    <t>30% (Финанс. устойч.)</t>
  </si>
  <si>
    <t>Фактические потери (убыток)</t>
  </si>
  <si>
    <t>Риск убыточности</t>
  </si>
  <si>
    <t>Размер убытка, его доля в собственном капитале, частота возникновения убыточных периодов.</t>
  </si>
  <si>
    <t>Отчет о финансовых результатах (ОФР)</t>
  </si>
  <si>
    <t>Не допускать убытка &gt;10% от капитала</t>
  </si>
  <si>
    <t>Размер убытка, доля в капитале, частота</t>
  </si>
  <si>
    <t>max(0, -Чистая прибыль)</t>
  </si>
  <si>
    <t>Меньше → лучше</t>
  </si>
  <si>
    <t>Капитал</t>
  </si>
  <si>
    <t>Доля заемных средств</t>
  </si>
  <si>
    <t>Риск финансовой устойчивости и зависимости от внешнего фондирования</t>
  </si>
  <si>
    <t>Уровень финансового рычага, важна динамика и цель заимствований</t>
  </si>
  <si>
    <t>Надзорная отчетность</t>
  </si>
  <si>
    <t>&lt;70% – норма;
70-85% – внимание;
&gt;85% – риск</t>
  </si>
  <si>
    <t>Уровень финансового рычага, динамика</t>
  </si>
  <si>
    <t>Заёмные ср-ва / (Заёмные + Капитал)</t>
  </si>
  <si>
    <t>Темп изменения капитала</t>
  </si>
  <si>
    <t>Риск истощения капитала</t>
  </si>
  <si>
    <t>Динамика собственного капитала</t>
  </si>
  <si>
    <t>Финансовая отчетность</t>
  </si>
  <si>
    <t>Стабильный рост (0-15% за год)</t>
  </si>
  <si>
    <t>(Капитал_тек - Капитал_пред)/Капитал_пред * 100%</t>
  </si>
  <si>
    <t>Рост → лучше</t>
  </si>
  <si>
    <t>Качество кредитного портфеля (активов)</t>
  </si>
  <si>
    <t>Темп роста выданных займов</t>
  </si>
  <si>
    <t>Риск неконтролируемого роста портфеля и концентрации рисков.</t>
  </si>
  <si>
    <t>Динамика, структура</t>
  </si>
  <si>
    <t>Оборотная ведомость, Форма 0409115</t>
  </si>
  <si>
    <t>Не выше роста капитала в 1.5x</t>
  </si>
  <si>
    <t>Динамика, структура, концентрация</t>
  </si>
  <si>
    <t>(Портфель_тек - Портфель_пред)/Портфель_пред * 100%</t>
  </si>
  <si>
    <t>Нужен контроль</t>
  </si>
  <si>
    <t>35% (Кред. риск)</t>
  </si>
  <si>
    <t>Уровень просроченной задолженности (ПЗ) &gt; N дней (N=1,30,90,180)</t>
  </si>
  <si>
    <t>Риск качества активов</t>
  </si>
  <si>
    <t>% от портфеля; Особое внимание - доле просрочки свыше 90 дней как индикатору потенциальных потерь</t>
  </si>
  <si>
    <t>Форма 0409115</t>
  </si>
  <si>
    <t>&lt;5% – зелено;
5-15% – желтый;
&gt;15% – красный</t>
  </si>
  <si>
    <t>% от портфеля, динамика, глубина</t>
  </si>
  <si>
    <t>Просрочка &gt;90 дн. / Весь портфель * 100%</t>
  </si>
  <si>
    <t>Коэффициент покрытия ПЗ резервом (РВПЗ/ПЗ)</t>
  </si>
  <si>
    <t>Риск недостаточности резервов</t>
  </si>
  <si>
    <t>Значение коэффициента (РВПЗ / ПЗ), рассчитанное для разных корзин просрочки (например, для ПЗ&gt;90 дней).</t>
  </si>
  <si>
    <t>Производный показатель</t>
  </si>
  <si>
    <t>&gt;100% – хорошо (покрывает всю просрочку)</t>
  </si>
  <si>
    <t>РВПЗ / ПЗ (особенно для 90+)</t>
  </si>
  <si>
    <t>Резервы / Просрочка &gt;90 дн. * 100%</t>
  </si>
  <si>
    <t>Ликвидность</t>
  </si>
  <si>
    <t>Коэффициент текущей ликвидности</t>
  </si>
  <si>
    <t>Риск неплатежеспособности</t>
  </si>
  <si>
    <t>Покрытие краткосрочных обязательств оборотными активами</t>
  </si>
  <si>
    <t>Бухгалтерский баланс</t>
  </si>
  <si>
    <t>&gt;1.5 – норма;
1.0-1.5 – риск;
&lt;1.0 – критично</t>
  </si>
  <si>
    <t>Покрытие краткосрочных обязательств</t>
  </si>
  <si>
    <t>Оборотные активы / Краткосрочные обязательства</t>
  </si>
  <si>
    <t>20% (Ликвидность)</t>
  </si>
  <si>
    <t>Доля высоколиквидных активов</t>
  </si>
  <si>
    <t>Риск дефицита ликвидности</t>
  </si>
  <si>
    <t>Активы, быстро конвертируемые в денежные средства</t>
  </si>
  <si>
    <t>для МФК - форма 0420840, строки 3.2.1 и 3.2.4; для МКК - форма 0420846, строки 3.2.1 и 3.2.4.1.</t>
  </si>
  <si>
    <t>&gt;15% от активов</t>
  </si>
  <si>
    <t>Деньги, средства на счетах, легко реализуемое</t>
  </si>
  <si>
    <t>(ДС + средства на счетах) / Итого активов * 100%</t>
  </si>
  <si>
    <t>Разрыв ликвидности (GAP)</t>
  </si>
  <si>
    <t>Риск временного дисбаланса</t>
  </si>
  <si>
    <t>Разница между притоком и оттоком денежных средств</t>
  </si>
  <si>
    <t>надзорная отчетность МФО по Указанию № 6316-У. денежный запас - 3.2.1.3;
притоки/портфель - 2.1, 2.11, 2.35;
оттоки по фондированию - 2.21, 2.22;
если есть купленные требования - для МФК 2.47, для МКК 2.45</t>
  </si>
  <si>
    <t>Положительный – нет риска</t>
  </si>
  <si>
    <t>Приток / отток ДС (на завтра, 7 дней)</t>
  </si>
  <si>
    <t>Приток ДС - Отток ДС (на завтра)</t>
  </si>
  <si>
    <t>&gt;0 → лучше</t>
  </si>
  <si>
    <t>Процентный риск</t>
  </si>
  <si>
    <t>Средневзвешенная процентная ставка по портфелю</t>
  </si>
  <si>
    <t>Риск снижения доходности</t>
  </si>
  <si>
    <t>Фактическая доходность займов</t>
  </si>
  <si>
    <t>надзорная отчетность МФО по Указанию Банка России № 6316-У, раздел II.  показатель нужно выводить из процентные доходы - 2.39.1 и 2.39.2;
объем портфеля - 2.1, 2.11, 2.35;
при необходимости купленный портфель - для МФК 2.47, для МКК 2.45</t>
  </si>
  <si>
    <t>Не ниже средней по рынку</t>
  </si>
  <si>
    <t>Факт. доходность займов</t>
  </si>
  <si>
    <t>Доходы / Средний портфель * 100%</t>
  </si>
  <si>
    <t>Риск-доходность</t>
  </si>
  <si>
    <t>Прибыльность</t>
  </si>
  <si>
    <t>Рентабельность активов (ROA)</t>
  </si>
  <si>
    <t>Риск неэффективности активов</t>
  </si>
  <si>
    <t>Доходность активов</t>
  </si>
  <si>
    <t>Отчёт о финансовых результатах (форма 123/0420410) — строка 2400; Бухгалтерский баланс — строка 1600</t>
  </si>
  <si>
    <t>&gt;5% – хорошо;
0-5% – норма;
&lt;0% – убыток</t>
  </si>
  <si>
    <t>Доходность, которую приносят активы</t>
  </si>
  <si>
    <t>(Чистая прибыль / Средние активы) * 100%</t>
  </si>
  <si>
    <t>Нефинансовый</t>
  </si>
  <si>
    <t>Регуляторные и правовые риски</t>
  </si>
  <si>
    <t>Обоснованные жалобы клиентов, признанные Банком России</t>
  </si>
  <si>
    <t>Репутационный и надзорный риск</t>
  </si>
  <si>
    <t>Количество жалоб, по которым ЦБ подтвердил нарушение</t>
  </si>
  <si>
    <t>Сайт Банка России → раздел „Сведения из реестра жалоб“</t>
  </si>
  <si>
    <t>равно 0 обоснованных жалоб</t>
  </si>
  <si>
    <t>Жалобы, где ЦБ признал нарушение</t>
  </si>
  <si>
    <t>Подсчёт записей с "Жалоба признана обоснованной"</t>
  </si>
  <si>
    <t>0 → лучше</t>
  </si>
  <si>
    <t>15% (Нефин. сигналы)</t>
  </si>
  <si>
    <t>Проверки Банка России / СРО КПК</t>
  </si>
  <si>
    <t>Надзорный риск</t>
  </si>
  <si>
    <t>Факт назначения, предписания</t>
  </si>
  <si>
    <t>Сайт СРО КПК (план проверок, решения дисциплинарного комитета); сайт ЦБ (предписания)</t>
  </si>
  <si>
    <t>Нет проверок / предписаний</t>
  </si>
  <si>
    <t>Бинарно: 1 – есть проверка/предписание, 0 – нет</t>
  </si>
  <si>
    <t>Нет → лучше</t>
  </si>
  <si>
    <t>Юридические риски</t>
  </si>
  <si>
    <t>Исполнительные производства</t>
  </si>
  <si>
    <t>Риск финансовых санкций</t>
  </si>
  <si>
    <t>Количество исполнительных производств и сумма задолженности по ним за отчетный период</t>
  </si>
  <si>
    <t>Банк данных исполнительных производств ФССП России</t>
  </si>
  <si>
    <t>равно 0 производств</t>
  </si>
  <si>
    <t>Кол-во произв. и сумма долга</t>
  </si>
  <si>
    <t>COUNT(производства за период)</t>
  </si>
  <si>
    <t>Корпоративное управление</t>
  </si>
  <si>
    <t>Текучесть членов органов управления (председатель, правление)</t>
  </si>
  <si>
    <t>Управленческий риск</t>
  </si>
  <si>
    <t>Количество смен председателя и членов органов управления за последние 3 года</t>
  </si>
  <si>
    <t>ЕГРЮЛ,официальный сайт ФНС, раскрытие информации компании</t>
  </si>
  <si>
    <t>0-1 смена – низкий;
2 – средний;
3+ – высокий</t>
  </si>
  <si>
    <t>Смена председателя / членов правления за 3 года</t>
  </si>
  <si>
    <t>Количество смен за 3 года</t>
  </si>
  <si>
    <t>Бизнес-устойчивость</t>
  </si>
  <si>
    <t>Срок работы на рынке</t>
  </si>
  <si>
    <t>Риск нестабильности</t>
  </si>
  <si>
    <t>Период функционирования компании</t>
  </si>
  <si>
    <t>ЕГРЮЛ</t>
  </si>
  <si>
    <t>&lt;1 г – высокий;
1-3 г – средний;
&gt;7 л – низкий</t>
  </si>
  <si>
    <t>Период функционирования</t>
  </si>
  <si>
    <t>(Текущая дата - Дата регистрации) / 365</t>
  </si>
  <si>
    <t>Больше → лучше</t>
  </si>
  <si>
    <t>Динамика численности пайщиков (прирост/отток)</t>
  </si>
  <si>
    <t>Риск потери источников фондирования</t>
  </si>
  <si>
    <t>Изменение количества пайщиков за период</t>
  </si>
  <si>
    <t>Внутренний реестр пайщиков, форма 0420842 (отчётность СРО)</t>
  </si>
  <si>
    <t>≥0% – норма;
-1%...-5% – желтый;
&lt;-5% – риск</t>
  </si>
  <si>
    <t>Прирост / отток пайщиков</t>
  </si>
  <si>
    <t>(Кол-во_тек - Кол-во_пред)/Кол-во_пред * 100%</t>
  </si>
  <si>
    <t>Комплаенс</t>
  </si>
  <si>
    <t>Факт нарушений законодательства</t>
  </si>
  <si>
    <t>Правовой риск</t>
  </si>
  <si>
    <t>Наличие вступивших в силу решений о привлечении к административной или налоговой ответственности</t>
  </si>
  <si>
    <t>Картотека арбитражных дел (решения о штрафах), сайт ФНС (дисквалификация), сайт ЦБ (предписания), сайты судов общей юрисдикции</t>
  </si>
  <si>
    <t>0 решений – норма;
1 штраф (&lt;50т.р.) – средний;
≥2 или дисквалификация – риск</t>
  </si>
  <si>
    <t>Штрафы, дисквалификации, предписания</t>
  </si>
  <si>
    <t>Бинарно: 0 – нет, 1 – есть</t>
  </si>
  <si>
    <t>Норматив достаточности капитала</t>
  </si>
  <si>
    <t xml:space="preserve">баллы </t>
  </si>
  <si>
    <t>Изменения капитала</t>
  </si>
  <si>
    <t>Уровень просроченной задолженности</t>
  </si>
  <si>
    <t>Коэффициент покрытия ПЗ резервом</t>
  </si>
  <si>
    <t>ROA</t>
  </si>
  <si>
    <t>ФИН. УСТОЙЧИВОСТЬ</t>
  </si>
  <si>
    <t>КРЕДИТНЫЙ РИСК</t>
  </si>
  <si>
    <t>ЛИКВИДНОСТЬ</t>
  </si>
  <si>
    <t>НЕФИН. СИГНАЛЫ</t>
  </si>
  <si>
    <t>ИТОГО</t>
  </si>
  <si>
    <t>РЕЙТИНГ</t>
  </si>
  <si>
    <t>КПК 1</t>
  </si>
  <si>
    <t>КПК 2</t>
  </si>
  <si>
    <t>КПК 3</t>
  </si>
  <si>
    <t>КПК 6</t>
  </si>
  <si>
    <t>КПК 7</t>
  </si>
  <si>
    <t>КПК 8</t>
  </si>
  <si>
    <t>КПК 9</t>
  </si>
  <si>
    <t>КПК 10</t>
  </si>
  <si>
    <t>КПК 11</t>
  </si>
  <si>
    <t>КПК 12</t>
  </si>
  <si>
    <t>КПК 13</t>
  </si>
  <si>
    <t>КПК 14</t>
  </si>
  <si>
    <t>КПК 15</t>
  </si>
  <si>
    <t>КПК 16</t>
  </si>
  <si>
    <t>КПК 17</t>
  </si>
  <si>
    <t>КПК 20</t>
  </si>
  <si>
    <t>КПК 22</t>
  </si>
  <si>
    <t>КПК 24</t>
  </si>
  <si>
    <t>КПК 25</t>
  </si>
  <si>
    <t>КПК 26</t>
  </si>
  <si>
    <t>КПК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</si>
</sst>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Quote-cjk-patch"/>
    </font>
    <font>
      <sz val="12.0"/>
      <color rgb="FF0F1115"/>
      <name val="Arial"/>
    </font>
    <font>
      <sz val="12.0"/>
      <color rgb="FF0F1115"/>
      <name val="Quote-cjk-patch"/>
    </font>
    <font>
      <sz val="12.0"/>
      <color rgb="FF000000"/>
      <name val="Arial"/>
    </font>
    <font>
      <sz val="12.0"/>
      <color rgb="FF000000"/>
      <name val="Quote-cjk-patch"/>
    </font>
    <font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Tahoma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&quot;Aptos Narrow&quot;"/>
    </font>
    <font>
      <sz val="10.0"/>
      <color rgb="FF000000"/>
      <name val="Arial"/>
    </font>
    <font>
      <color rgb="FF000000"/>
      <name val="Arial"/>
    </font>
    <font>
      <sz val="10.0"/>
      <color rgb="FF000000"/>
      <name val="Tahoma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F1115"/>
      <name val="Quote-cjk-patch"/>
    </font>
    <font>
      <sz val="11.0"/>
      <color rgb="FF0F1115"/>
      <name val="Arial"/>
    </font>
    <font>
      <color rgb="FF98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2" fillId="0" fontId="7" numFmtId="0" xfId="0" applyAlignment="1" applyBorder="1" applyFont="1">
      <alignment readingOrder="0"/>
    </xf>
    <xf borderId="2" fillId="5" fontId="7" numFmtId="0" xfId="0" applyAlignment="1" applyBorder="1" applyFill="1" applyFont="1">
      <alignment horizontal="center" readingOrder="0"/>
    </xf>
    <xf borderId="2" fillId="6" fontId="7" numFmtId="0" xfId="0" applyAlignment="1" applyBorder="1" applyFill="1" applyFont="1">
      <alignment horizontal="center" readingOrder="0"/>
    </xf>
    <xf borderId="0" fillId="5" fontId="7" numFmtId="4" xfId="0" applyAlignment="1" applyFont="1" applyNumberFormat="1">
      <alignment horizontal="center" readingOrder="0"/>
    </xf>
    <xf borderId="2" fillId="7" fontId="8" numFmtId="0" xfId="0" applyAlignment="1" applyBorder="1" applyFill="1" applyFont="1">
      <alignment horizontal="center" readingOrder="0"/>
    </xf>
    <xf borderId="2" fillId="7" fontId="7" numFmtId="0" xfId="0" applyAlignment="1" applyBorder="1" applyFont="1">
      <alignment horizontal="center" readingOrder="0"/>
    </xf>
    <xf borderId="2" fillId="8" fontId="9" numFmtId="0" xfId="0" applyAlignment="1" applyBorder="1" applyFill="1" applyFont="1">
      <alignment horizontal="center" readingOrder="0"/>
    </xf>
    <xf borderId="2" fillId="0" fontId="10" numFmtId="0" xfId="0" applyAlignment="1" applyBorder="1" applyFont="1">
      <alignment horizontal="center" readingOrder="0" shrinkToFit="0" wrapText="0"/>
    </xf>
    <xf borderId="2" fillId="0" fontId="11" numFmtId="4" xfId="0" applyAlignment="1" applyBorder="1" applyFont="1" applyNumberFormat="1">
      <alignment horizontal="center" readingOrder="0" shrinkToFit="0" vertical="bottom" wrapText="0"/>
    </xf>
    <xf borderId="2" fillId="0" fontId="10" numFmtId="10" xfId="0" applyAlignment="1" applyBorder="1" applyFont="1" applyNumberFormat="1">
      <alignment horizontal="center" readingOrder="0" shrinkToFit="0" wrapText="0"/>
    </xf>
    <xf borderId="2" fillId="0" fontId="7" numFmtId="4" xfId="0" applyAlignment="1" applyBorder="1" applyFont="1" applyNumberFormat="1">
      <alignment horizontal="center"/>
    </xf>
    <xf borderId="2" fillId="0" fontId="12" numFmtId="10" xfId="0" applyAlignment="1" applyBorder="1" applyFont="1" applyNumberFormat="1">
      <alignment horizontal="center" readingOrder="0" shrinkToFit="0" vertical="bottom" wrapText="0"/>
    </xf>
    <xf borderId="2" fillId="0" fontId="12" numFmtId="4" xfId="0" applyAlignment="1" applyBorder="1" applyFont="1" applyNumberFormat="1">
      <alignment horizontal="center" readingOrder="0" shrinkToFit="0" vertical="bottom" wrapText="0"/>
    </xf>
    <xf borderId="2" fillId="0" fontId="13" numFmtId="4" xfId="0" applyAlignment="1" applyBorder="1" applyFont="1" applyNumberFormat="1">
      <alignment horizontal="center" readingOrder="0" shrinkToFit="0" vertical="bottom" wrapText="0"/>
    </xf>
    <xf borderId="2" fillId="0" fontId="14" numFmtId="4" xfId="0" applyAlignment="1" applyBorder="1" applyFont="1" applyNumberFormat="1">
      <alignment horizontal="center" readingOrder="0" shrinkToFit="0" wrapText="0"/>
    </xf>
    <xf borderId="2" fillId="0" fontId="15" numFmtId="4" xfId="0" applyAlignment="1" applyBorder="1" applyFont="1" applyNumberFormat="1">
      <alignment horizontal="center" readingOrder="0" shrinkToFit="0" vertical="bottom" wrapText="0"/>
    </xf>
    <xf borderId="2" fillId="0" fontId="16" numFmtId="10" xfId="0" applyAlignment="1" applyBorder="1" applyFont="1" applyNumberFormat="1">
      <alignment horizontal="center" readingOrder="0" shrinkToFit="0" wrapText="0"/>
    </xf>
    <xf borderId="2" fillId="0" fontId="17" numFmtId="4" xfId="0" applyAlignment="1" applyBorder="1" applyFont="1" applyNumberFormat="1">
      <alignment horizontal="center" readingOrder="0" shrinkToFit="0" wrapText="0"/>
    </xf>
    <xf borderId="2" fillId="0" fontId="17" numFmtId="10" xfId="0" applyAlignment="1" applyBorder="1" applyFont="1" applyNumberFormat="1">
      <alignment horizontal="center" readingOrder="0" shrinkToFit="0" wrapText="0"/>
    </xf>
    <xf borderId="2" fillId="0" fontId="18" numFmtId="4" xfId="0" applyAlignment="1" applyBorder="1" applyFont="1" applyNumberFormat="1">
      <alignment horizontal="center"/>
    </xf>
    <xf borderId="2" fillId="0" fontId="10" numFmtId="4" xfId="0" applyAlignment="1" applyBorder="1" applyFont="1" applyNumberFormat="1">
      <alignment horizontal="center" readingOrder="0" shrinkToFit="0" wrapText="0"/>
    </xf>
    <xf borderId="2" fillId="0" fontId="7" numFmtId="3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 readingOrder="0"/>
    </xf>
    <xf borderId="0" fillId="8" fontId="7" numFmtId="0" xfId="0" applyAlignment="1" applyFont="1">
      <alignment horizontal="center"/>
    </xf>
    <xf borderId="3" fillId="0" fontId="17" numFmtId="10" xfId="0" applyAlignment="1" applyBorder="1" applyFont="1" applyNumberFormat="1">
      <alignment horizontal="center" readingOrder="0" shrinkToFit="0" wrapText="0"/>
    </xf>
    <xf borderId="0" fillId="4" fontId="19" numFmtId="0" xfId="0" applyAlignment="1" applyFont="1">
      <alignment readingOrder="0"/>
    </xf>
    <xf borderId="0" fillId="0" fontId="7" numFmtId="3" xfId="0" applyFont="1" applyNumberFormat="1"/>
    <xf borderId="0" fillId="0" fontId="20" numFmtId="0" xfId="0" applyAlignment="1" applyFont="1">
      <alignment readingOrder="0"/>
    </xf>
    <xf borderId="0" fillId="0" fontId="7" numFmtId="4" xfId="0" applyAlignment="1" applyFont="1" applyNumberFormat="1">
      <alignment horizontal="center" readingOrder="0"/>
    </xf>
    <xf borderId="0" fillId="0" fontId="7" numFmtId="4" xfId="0" applyFont="1" applyNumberFormat="1"/>
    <xf borderId="0" fillId="0" fontId="7" numFmtId="4" xfId="0" applyAlignment="1" applyFont="1" applyNumberFormat="1">
      <alignment readingOrder="0"/>
    </xf>
    <xf borderId="0" fillId="0" fontId="21" numFmtId="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20" displayName="Таблица1" name="Таблица1" id="1">
  <tableColumns count="25">
    <tableColumn name="№" id="1"/>
    <tableColumn name="Блок" id="2"/>
    <tableColumn name="Раздел (Категория)" id="3"/>
    <tableColumn name="Тип записи" id="4"/>
    <tableColumn name="Конкретный показатель / KPI / Фактор риска" id="5"/>
    <tableColumn name="Отражаемый риск (пояснение)" id="6"/>
    <tableColumn name="Содержание показателя / Что отслеживать" id="7"/>
    <tableColumn name="Источник данных / Нормативный акт" id="8"/>
    <tableColumn name="Целевое значение / Норматив" id="9"/>
    <tableColumn name="Что отслеживать" id="10"/>
    <tableColumn name="Формула / Метод расчёта" id="11"/>
    <tableColumn name="Направление риска" id="12"/>
    <tableColumn name="Вес в рейтинге" id="13"/>
    <tableColumn name="Столбец 15" id="14"/>
    <tableColumn name="Столбец 16" id="15"/>
    <tableColumn name="Столбец 17" id="16"/>
    <tableColumn name="Столбец 18" id="17"/>
    <tableColumn name="Столбец 19" id="18"/>
    <tableColumn name="Столбец 20" id="19"/>
    <tableColumn name="Столбец 21" id="20"/>
    <tableColumn name="Столбец 22" id="21"/>
    <tableColumn name="Столбец 23" id="22"/>
    <tableColumn name="Столбец 24" id="23"/>
    <tableColumn name="Столбец 25" id="24"/>
    <tableColumn name="Столбец 26" id="2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0.5"/>
    <col customWidth="1" min="3" max="3" width="40.38"/>
    <col customWidth="1" min="4" max="4" width="19.75"/>
    <col customWidth="1" min="5" max="5" width="66.75"/>
    <col customWidth="1" min="6" max="6" width="72.13"/>
    <col customWidth="1" min="7" max="7" width="106.88"/>
    <col customWidth="1" min="8" max="8" width="137.38"/>
    <col customWidth="1" min="9" max="9" width="43.5"/>
    <col customWidth="1" min="10" max="10" width="49.5"/>
    <col customWidth="1" min="11" max="11" width="56.25"/>
    <col customWidth="1" min="12" max="12" width="25.0"/>
    <col customWidth="1" min="13" max="13" width="23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ht="22.5" customHeight="1">
      <c r="A2" s="5">
        <v>1.0</v>
      </c>
      <c r="B2" s="6" t="s">
        <v>25</v>
      </c>
      <c r="C2" s="7" t="s">
        <v>26</v>
      </c>
      <c r="D2" s="6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22.5" customHeight="1">
      <c r="A3" s="9">
        <v>2.0</v>
      </c>
      <c r="B3" s="6" t="s">
        <v>25</v>
      </c>
      <c r="C3" s="7" t="s">
        <v>26</v>
      </c>
      <c r="D3" s="6" t="s">
        <v>27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 t="s">
        <v>42</v>
      </c>
      <c r="K3" s="7" t="s">
        <v>43</v>
      </c>
      <c r="L3" s="7" t="s">
        <v>44</v>
      </c>
      <c r="M3" s="7" t="s">
        <v>36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22.5" customHeight="1">
      <c r="A4" s="5">
        <v>3.0</v>
      </c>
      <c r="B4" s="6" t="s">
        <v>25</v>
      </c>
      <c r="C4" s="7" t="s">
        <v>45</v>
      </c>
      <c r="D4" s="6" t="s">
        <v>27</v>
      </c>
      <c r="E4" s="7" t="s">
        <v>46</v>
      </c>
      <c r="F4" s="7" t="s">
        <v>47</v>
      </c>
      <c r="G4" s="7" t="s">
        <v>48</v>
      </c>
      <c r="H4" s="7" t="s">
        <v>49</v>
      </c>
      <c r="I4" s="7" t="s">
        <v>50</v>
      </c>
      <c r="J4" s="7" t="s">
        <v>51</v>
      </c>
      <c r="K4" s="7" t="s">
        <v>52</v>
      </c>
      <c r="L4" s="7" t="s">
        <v>44</v>
      </c>
      <c r="M4" s="7" t="s">
        <v>36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22.5" customHeight="1">
      <c r="A5" s="9">
        <v>4.0</v>
      </c>
      <c r="B5" s="6" t="s">
        <v>25</v>
      </c>
      <c r="C5" s="7" t="s">
        <v>45</v>
      </c>
      <c r="D5" s="6" t="s">
        <v>27</v>
      </c>
      <c r="E5" s="7" t="s">
        <v>53</v>
      </c>
      <c r="F5" s="7" t="s">
        <v>54</v>
      </c>
      <c r="G5" s="7" t="s">
        <v>55</v>
      </c>
      <c r="H5" s="7" t="s">
        <v>56</v>
      </c>
      <c r="I5" s="7" t="s">
        <v>57</v>
      </c>
      <c r="J5" s="7" t="s">
        <v>55</v>
      </c>
      <c r="K5" s="7" t="s">
        <v>58</v>
      </c>
      <c r="L5" s="7" t="s">
        <v>59</v>
      </c>
      <c r="M5" s="7" t="s">
        <v>36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2.5" customHeight="1">
      <c r="A6" s="5">
        <v>5.0</v>
      </c>
      <c r="B6" s="6" t="s">
        <v>25</v>
      </c>
      <c r="C6" s="7" t="s">
        <v>60</v>
      </c>
      <c r="D6" s="6" t="s">
        <v>27</v>
      </c>
      <c r="E6" s="7" t="s">
        <v>61</v>
      </c>
      <c r="F6" s="7" t="s">
        <v>62</v>
      </c>
      <c r="G6" s="7" t="s">
        <v>63</v>
      </c>
      <c r="H6" s="7" t="s">
        <v>64</v>
      </c>
      <c r="I6" s="7" t="s">
        <v>65</v>
      </c>
      <c r="J6" s="7" t="s">
        <v>66</v>
      </c>
      <c r="K6" s="7" t="s">
        <v>67</v>
      </c>
      <c r="L6" s="7" t="s">
        <v>68</v>
      </c>
      <c r="M6" s="7" t="s">
        <v>69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22.5" customHeight="1">
      <c r="A7" s="9">
        <v>6.0</v>
      </c>
      <c r="B7" s="6" t="s">
        <v>25</v>
      </c>
      <c r="C7" s="7" t="s">
        <v>60</v>
      </c>
      <c r="D7" s="6" t="s">
        <v>27</v>
      </c>
      <c r="E7" s="7" t="s">
        <v>70</v>
      </c>
      <c r="F7" s="7" t="s">
        <v>71</v>
      </c>
      <c r="G7" s="7" t="s">
        <v>72</v>
      </c>
      <c r="H7" s="7" t="s">
        <v>73</v>
      </c>
      <c r="I7" s="7" t="s">
        <v>74</v>
      </c>
      <c r="J7" s="7" t="s">
        <v>75</v>
      </c>
      <c r="K7" s="7" t="s">
        <v>76</v>
      </c>
      <c r="L7" s="7" t="s">
        <v>44</v>
      </c>
      <c r="M7" s="7" t="s">
        <v>69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22.5" customHeight="1">
      <c r="A8" s="5">
        <v>7.0</v>
      </c>
      <c r="B8" s="6" t="s">
        <v>25</v>
      </c>
      <c r="C8" s="7" t="s">
        <v>60</v>
      </c>
      <c r="D8" s="6" t="s">
        <v>27</v>
      </c>
      <c r="E8" s="7" t="s">
        <v>77</v>
      </c>
      <c r="F8" s="7" t="s">
        <v>78</v>
      </c>
      <c r="G8" s="7" t="s">
        <v>79</v>
      </c>
      <c r="H8" s="7" t="s">
        <v>80</v>
      </c>
      <c r="I8" s="7" t="s">
        <v>81</v>
      </c>
      <c r="J8" s="7" t="s">
        <v>82</v>
      </c>
      <c r="K8" s="7" t="s">
        <v>83</v>
      </c>
      <c r="L8" s="7" t="s">
        <v>35</v>
      </c>
      <c r="M8" s="7" t="s">
        <v>69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2.5" customHeight="1">
      <c r="A9" s="5">
        <v>8.0</v>
      </c>
      <c r="B9" s="6" t="s">
        <v>25</v>
      </c>
      <c r="C9" s="7" t="s">
        <v>84</v>
      </c>
      <c r="D9" s="6" t="s">
        <v>27</v>
      </c>
      <c r="E9" s="7" t="s">
        <v>85</v>
      </c>
      <c r="F9" s="7" t="s">
        <v>86</v>
      </c>
      <c r="G9" s="7" t="s">
        <v>87</v>
      </c>
      <c r="H9" s="7" t="s">
        <v>88</v>
      </c>
      <c r="I9" s="7" t="s">
        <v>89</v>
      </c>
      <c r="J9" s="7" t="s">
        <v>90</v>
      </c>
      <c r="K9" s="7" t="s">
        <v>91</v>
      </c>
      <c r="L9" s="7" t="s">
        <v>35</v>
      </c>
      <c r="M9" s="7" t="s">
        <v>92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22.5" customHeight="1">
      <c r="A10" s="9">
        <v>9.0</v>
      </c>
      <c r="B10" s="6" t="s">
        <v>25</v>
      </c>
      <c r="C10" s="7" t="s">
        <v>84</v>
      </c>
      <c r="D10" s="6" t="s">
        <v>27</v>
      </c>
      <c r="E10" s="7" t="s">
        <v>93</v>
      </c>
      <c r="F10" s="7" t="s">
        <v>94</v>
      </c>
      <c r="G10" s="7" t="s">
        <v>95</v>
      </c>
      <c r="H10" s="7" t="s">
        <v>96</v>
      </c>
      <c r="I10" s="7" t="s">
        <v>97</v>
      </c>
      <c r="J10" s="7" t="s">
        <v>98</v>
      </c>
      <c r="K10" s="7" t="s">
        <v>99</v>
      </c>
      <c r="L10" s="7" t="s">
        <v>35</v>
      </c>
      <c r="M10" s="7" t="s">
        <v>92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22.5" customHeight="1">
      <c r="A11" s="5">
        <v>10.0</v>
      </c>
      <c r="B11" s="6" t="s">
        <v>25</v>
      </c>
      <c r="C11" s="7" t="s">
        <v>84</v>
      </c>
      <c r="D11" s="6" t="s">
        <v>27</v>
      </c>
      <c r="E11" s="7" t="s">
        <v>100</v>
      </c>
      <c r="F11" s="7" t="s">
        <v>101</v>
      </c>
      <c r="G11" s="7" t="s">
        <v>102</v>
      </c>
      <c r="H11" s="7" t="s">
        <v>103</v>
      </c>
      <c r="I11" s="7" t="s">
        <v>104</v>
      </c>
      <c r="J11" s="7" t="s">
        <v>105</v>
      </c>
      <c r="K11" s="7" t="s">
        <v>106</v>
      </c>
      <c r="L11" s="7" t="s">
        <v>107</v>
      </c>
      <c r="M11" s="7" t="s">
        <v>92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22.5" customHeight="1">
      <c r="A12" s="9">
        <v>11.0</v>
      </c>
      <c r="B12" s="6" t="s">
        <v>25</v>
      </c>
      <c r="C12" s="7" t="s">
        <v>108</v>
      </c>
      <c r="D12" s="6" t="s">
        <v>27</v>
      </c>
      <c r="E12" s="7" t="s">
        <v>109</v>
      </c>
      <c r="F12" s="7" t="s">
        <v>110</v>
      </c>
      <c r="G12" s="7" t="s">
        <v>111</v>
      </c>
      <c r="H12" s="7" t="s">
        <v>112</v>
      </c>
      <c r="I12" s="7" t="s">
        <v>113</v>
      </c>
      <c r="J12" s="7" t="s">
        <v>114</v>
      </c>
      <c r="K12" s="7" t="s">
        <v>115</v>
      </c>
      <c r="L12" s="7" t="s">
        <v>116</v>
      </c>
      <c r="M12" s="7" t="s">
        <v>92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22.5" customHeight="1">
      <c r="A13" s="5">
        <v>12.0</v>
      </c>
      <c r="B13" s="6" t="s">
        <v>25</v>
      </c>
      <c r="C13" s="7" t="s">
        <v>117</v>
      </c>
      <c r="D13" s="6" t="s">
        <v>27</v>
      </c>
      <c r="E13" s="7" t="s">
        <v>118</v>
      </c>
      <c r="F13" s="7" t="s">
        <v>119</v>
      </c>
      <c r="G13" s="7" t="s">
        <v>120</v>
      </c>
      <c r="H13" s="7" t="s">
        <v>121</v>
      </c>
      <c r="I13" s="7" t="s">
        <v>122</v>
      </c>
      <c r="J13" s="7" t="s">
        <v>123</v>
      </c>
      <c r="K13" s="7" t="s">
        <v>124</v>
      </c>
      <c r="L13" s="7" t="s">
        <v>35</v>
      </c>
      <c r="M13" s="7" t="s">
        <v>69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9">
        <v>13.0</v>
      </c>
      <c r="B14" s="6" t="s">
        <v>125</v>
      </c>
      <c r="C14" s="7" t="s">
        <v>126</v>
      </c>
      <c r="D14" s="6" t="s">
        <v>27</v>
      </c>
      <c r="E14" s="7" t="s">
        <v>127</v>
      </c>
      <c r="F14" s="7" t="s">
        <v>128</v>
      </c>
      <c r="G14" s="7" t="s">
        <v>129</v>
      </c>
      <c r="H14" s="7" t="s">
        <v>130</v>
      </c>
      <c r="I14" s="7" t="s">
        <v>131</v>
      </c>
      <c r="J14" s="7" t="s">
        <v>132</v>
      </c>
      <c r="K14" s="7" t="s">
        <v>133</v>
      </c>
      <c r="L14" s="7" t="s">
        <v>134</v>
      </c>
      <c r="M14" s="7" t="s">
        <v>135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22.5" customHeight="1">
      <c r="A15" s="5">
        <v>14.0</v>
      </c>
      <c r="B15" s="6" t="s">
        <v>125</v>
      </c>
      <c r="C15" s="7" t="s">
        <v>126</v>
      </c>
      <c r="D15" s="6" t="s">
        <v>27</v>
      </c>
      <c r="E15" s="7" t="s">
        <v>136</v>
      </c>
      <c r="F15" s="7" t="s">
        <v>137</v>
      </c>
      <c r="G15" s="7" t="s">
        <v>138</v>
      </c>
      <c r="H15" s="7" t="s">
        <v>139</v>
      </c>
      <c r="I15" s="7" t="s">
        <v>140</v>
      </c>
      <c r="J15" s="7" t="s">
        <v>138</v>
      </c>
      <c r="K15" s="7" t="s">
        <v>141</v>
      </c>
      <c r="L15" s="7" t="s">
        <v>142</v>
      </c>
      <c r="M15" s="7" t="s">
        <v>135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A16" s="5">
        <v>15.0</v>
      </c>
      <c r="B16" s="6" t="s">
        <v>125</v>
      </c>
      <c r="C16" s="7" t="s">
        <v>143</v>
      </c>
      <c r="D16" s="6" t="s">
        <v>27</v>
      </c>
      <c r="E16" s="7" t="s">
        <v>144</v>
      </c>
      <c r="F16" s="7" t="s">
        <v>145</v>
      </c>
      <c r="G16" s="7" t="s">
        <v>146</v>
      </c>
      <c r="H16" s="7" t="s">
        <v>147</v>
      </c>
      <c r="I16" s="7" t="s">
        <v>148</v>
      </c>
      <c r="J16" s="7" t="s">
        <v>149</v>
      </c>
      <c r="K16" s="7" t="s">
        <v>150</v>
      </c>
      <c r="L16" s="7" t="s">
        <v>142</v>
      </c>
      <c r="M16" s="7" t="s">
        <v>135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2.5" customHeight="1">
      <c r="A17" s="9">
        <v>16.0</v>
      </c>
      <c r="B17" s="6" t="s">
        <v>125</v>
      </c>
      <c r="C17" s="7" t="s">
        <v>151</v>
      </c>
      <c r="D17" s="6" t="s">
        <v>27</v>
      </c>
      <c r="E17" s="7" t="s">
        <v>152</v>
      </c>
      <c r="F17" s="7" t="s">
        <v>153</v>
      </c>
      <c r="G17" s="7" t="s">
        <v>154</v>
      </c>
      <c r="H17" s="7" t="s">
        <v>155</v>
      </c>
      <c r="I17" s="7" t="s">
        <v>156</v>
      </c>
      <c r="J17" s="7" t="s">
        <v>157</v>
      </c>
      <c r="K17" s="7" t="s">
        <v>158</v>
      </c>
      <c r="L17" s="7" t="s">
        <v>44</v>
      </c>
      <c r="M17" s="7" t="s">
        <v>135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2.5" customHeight="1">
      <c r="A18" s="5">
        <v>17.0</v>
      </c>
      <c r="B18" s="6" t="s">
        <v>125</v>
      </c>
      <c r="C18" s="7" t="s">
        <v>159</v>
      </c>
      <c r="D18" s="6" t="s">
        <v>27</v>
      </c>
      <c r="E18" s="7" t="s">
        <v>160</v>
      </c>
      <c r="F18" s="7" t="s">
        <v>161</v>
      </c>
      <c r="G18" s="7" t="s">
        <v>162</v>
      </c>
      <c r="H18" s="7" t="s">
        <v>163</v>
      </c>
      <c r="I18" s="7" t="s">
        <v>164</v>
      </c>
      <c r="J18" s="7" t="s">
        <v>165</v>
      </c>
      <c r="K18" s="7" t="s">
        <v>166</v>
      </c>
      <c r="L18" s="7" t="s">
        <v>167</v>
      </c>
      <c r="M18" s="7" t="s">
        <v>135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22.5" customHeight="1">
      <c r="A19" s="9">
        <v>18.0</v>
      </c>
      <c r="B19" s="6" t="s">
        <v>125</v>
      </c>
      <c r="C19" s="7" t="s">
        <v>159</v>
      </c>
      <c r="D19" s="6" t="s">
        <v>27</v>
      </c>
      <c r="E19" s="7" t="s">
        <v>168</v>
      </c>
      <c r="F19" s="7" t="s">
        <v>169</v>
      </c>
      <c r="G19" s="7" t="s">
        <v>170</v>
      </c>
      <c r="H19" s="7" t="s">
        <v>171</v>
      </c>
      <c r="I19" s="7" t="s">
        <v>172</v>
      </c>
      <c r="J19" s="7" t="s">
        <v>173</v>
      </c>
      <c r="K19" s="7" t="s">
        <v>174</v>
      </c>
      <c r="L19" s="7" t="s">
        <v>59</v>
      </c>
      <c r="M19" s="7" t="s">
        <v>135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22.5" customHeight="1">
      <c r="A20" s="5">
        <v>19.0</v>
      </c>
      <c r="B20" s="6" t="s">
        <v>125</v>
      </c>
      <c r="C20" s="7" t="s">
        <v>175</v>
      </c>
      <c r="D20" s="6" t="s">
        <v>27</v>
      </c>
      <c r="E20" s="7" t="s">
        <v>176</v>
      </c>
      <c r="F20" s="7" t="s">
        <v>177</v>
      </c>
      <c r="G20" s="7" t="s">
        <v>178</v>
      </c>
      <c r="H20" s="7" t="s">
        <v>179</v>
      </c>
      <c r="I20" s="7" t="s">
        <v>180</v>
      </c>
      <c r="J20" s="7" t="s">
        <v>181</v>
      </c>
      <c r="K20" s="7" t="s">
        <v>182</v>
      </c>
      <c r="L20" s="7" t="s">
        <v>142</v>
      </c>
      <c r="M20" s="7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</sheetData>
  <customSheetViews>
    <customSheetView guid="{5D2AF718-6DC8-4909-8328-2A41C3335550}" filter="1" showAutoFilter="1">
      <autoFilter ref="$A$1:$Y$20"/>
    </customSheetView>
  </customSheetViews>
  <dataValidations>
    <dataValidation type="list" allowBlank="1" showDropDown="1" showErrorMessage="1" sqref="D2:D20">
      <formula1>"KPI,Качественный фактор"</formula1>
    </dataValidation>
    <dataValidation type="custom" allowBlank="1" showDropDown="1" sqref="A2:A20">
      <formula1>AND(ISNUMBER(A2),(NOT(OR(NOT(ISERROR(DATEVALUE(A2))), AND(ISNUMBER(A2), LEFT(CELL("format", A2))="D")))))</formula1>
    </dataValidation>
    <dataValidation type="list" allowBlank="1" showDropDown="1" showErrorMessage="1" sqref="B2:B20">
      <formula1>"Финансовый,Нефинансовый"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38"/>
    <col customWidth="1" min="3" max="3" width="13.13"/>
    <col customWidth="1" min="4" max="4" width="23.63"/>
    <col customWidth="1" min="5" max="5" width="14.13"/>
    <col customWidth="1" min="6" max="6" width="20.38"/>
    <col customWidth="1" min="7" max="7" width="12.13"/>
    <col customWidth="1" min="8" max="8" width="20.38"/>
    <col customWidth="1" min="9" max="9" width="12.88"/>
    <col customWidth="1" min="10" max="10" width="24.75"/>
    <col customWidth="1" min="11" max="11" width="12.0"/>
    <col customWidth="1" min="12" max="12" width="31.13"/>
    <col customWidth="1" min="13" max="13" width="11.38"/>
    <col customWidth="1" min="14" max="14" width="31.0"/>
    <col customWidth="1" min="15" max="15" width="12.25"/>
    <col customWidth="1" min="16" max="16" width="29.13"/>
    <col customWidth="1" min="17" max="17" width="11.13"/>
    <col customWidth="1" min="18" max="18" width="25.75"/>
    <col customWidth="1" min="19" max="19" width="11.88"/>
    <col customWidth="1" min="20" max="20" width="22.13"/>
    <col customWidth="1" min="21" max="21" width="12.13"/>
    <col customWidth="1" min="22" max="22" width="42.0"/>
    <col customWidth="1" min="23" max="23" width="11.88"/>
    <col customWidth="1" min="25" max="25" width="12.0"/>
    <col customWidth="1" min="26" max="26" width="17.75"/>
    <col customWidth="1" min="27" max="27" width="18.25"/>
    <col customWidth="1" min="28" max="28" width="15.38"/>
    <col customWidth="1" min="29" max="29" width="17.25"/>
  </cols>
  <sheetData>
    <row r="1">
      <c r="A1" s="15"/>
      <c r="B1" s="16" t="s">
        <v>183</v>
      </c>
      <c r="C1" s="17" t="s">
        <v>184</v>
      </c>
      <c r="D1" s="16" t="s">
        <v>37</v>
      </c>
      <c r="E1" s="17" t="s">
        <v>184</v>
      </c>
      <c r="F1" s="16" t="s">
        <v>46</v>
      </c>
      <c r="G1" s="17" t="s">
        <v>184</v>
      </c>
      <c r="H1" s="16" t="s">
        <v>185</v>
      </c>
      <c r="I1" s="17" t="s">
        <v>184</v>
      </c>
      <c r="J1" s="18" t="s">
        <v>61</v>
      </c>
      <c r="K1" s="17" t="s">
        <v>184</v>
      </c>
      <c r="L1" s="16" t="s">
        <v>186</v>
      </c>
      <c r="M1" s="17" t="s">
        <v>184</v>
      </c>
      <c r="N1" s="16" t="s">
        <v>187</v>
      </c>
      <c r="O1" s="17" t="s">
        <v>184</v>
      </c>
      <c r="P1" s="16" t="s">
        <v>85</v>
      </c>
      <c r="Q1" s="17" t="s">
        <v>184</v>
      </c>
      <c r="R1" s="16" t="s">
        <v>93</v>
      </c>
      <c r="S1" s="17" t="s">
        <v>184</v>
      </c>
      <c r="T1" s="16" t="s">
        <v>100</v>
      </c>
      <c r="U1" s="17" t="s">
        <v>184</v>
      </c>
      <c r="V1" s="16" t="s">
        <v>109</v>
      </c>
      <c r="W1" s="17" t="s">
        <v>184</v>
      </c>
      <c r="X1" s="16" t="s">
        <v>188</v>
      </c>
      <c r="Y1" s="17" t="s">
        <v>184</v>
      </c>
      <c r="Z1" s="19" t="s">
        <v>189</v>
      </c>
      <c r="AA1" s="20" t="s">
        <v>190</v>
      </c>
      <c r="AB1" s="20" t="s">
        <v>191</v>
      </c>
      <c r="AC1" s="20" t="s">
        <v>192</v>
      </c>
      <c r="AD1" s="20" t="s">
        <v>193</v>
      </c>
      <c r="AE1" s="21" t="s">
        <v>194</v>
      </c>
      <c r="AF1" s="15"/>
      <c r="AG1" s="15"/>
    </row>
    <row r="2">
      <c r="A2" s="22" t="s">
        <v>195</v>
      </c>
      <c r="B2" s="22">
        <v>9.48</v>
      </c>
      <c r="C2" s="23">
        <f t="shared" ref="C2:C22" si="1">(1+SUMPRODUCT(($B$2:$B$22&gt;B2)/COUNTIF($B$2:$B$22,$B$2:$B$22)))*(100/SUMPRODUCT(1/COUNTIF($B$2:$B$22,$B$2:$B$22)))</f>
        <v>52.38095238</v>
      </c>
      <c r="D2" s="24">
        <v>0.0</v>
      </c>
      <c r="E2" s="25">
        <f t="shared" ref="E2:E22" si="2">(1+SUMPRODUCT(($D$2:$D$22&gt;D2)/COUNTIF($D$2:$D$22,$D$2:$D$22)))*(100/SUMPRODUCT(1/COUNTIF($D$2:$D$22,$D$2:$D$22)))</f>
        <v>73.68421053</v>
      </c>
      <c r="F2" s="26">
        <v>0.0106</v>
      </c>
      <c r="G2" s="27">
        <f t="shared" ref="G2:G22" si="3">(1+SUMPRODUCT(($F$2:$F$22&lt;F2)/COUNTIF($F$2:$F$22,$F$2:$F$22)))*(100/SUMPRODUCT(1/COUNTIF($F$2:$F$22,$F$2:$F$22)))</f>
        <v>38.0952381</v>
      </c>
      <c r="H2" s="26">
        <v>0.0106</v>
      </c>
      <c r="I2" s="28">
        <f t="shared" ref="I2:I22" si="4">(1+SUMPRODUCT(($H$2:$H$22&lt;H2)/COUNTIF($H$2:$H$22,$H$2:$H$22)))*(100/SUMPRODUCT(1/COUNTIF($H$2:$H$22,$H$2:$H$22)))</f>
        <v>38.0952381</v>
      </c>
      <c r="J2" s="29">
        <v>2.2621</v>
      </c>
      <c r="K2" s="30">
        <f t="shared" ref="K2:K22" si="5">(1+SUMPRODUCT(($J$2:$J$22&lt;J2)/COUNTIF($J$2:$J$22,$J$2:$J$22)))*(100/SUMPRODUCT(1/COUNTIF($J$2:$J$22,$J$2:$J$22)))</f>
        <v>52.38095238</v>
      </c>
      <c r="L2" s="31">
        <v>0.6684</v>
      </c>
      <c r="M2" s="32">
        <f t="shared" ref="M2:M22" si="6">(1+SUMPRODUCT(($L$2:$L$22&lt;L2)/COUNTIF($L$2:$L$22,$L$2:$L$22)))*(100/SUMPRODUCT(1/COUNTIF($L$2:$L$22,$L$2:$L$22)))</f>
        <v>94.73684211</v>
      </c>
      <c r="N2" s="33">
        <v>0.2284</v>
      </c>
      <c r="O2" s="34">
        <f t="shared" ref="O2:O22" si="7">(1+SUMPRODUCT(($N$2:$N$22&gt;N2)/COUNTIF($N$2:$N$22,$N$2:$N$22)))*(100/SUMPRODUCT(1/COUNTIF($N$2:$N$22,$N$2:$N$22)))</f>
        <v>15.78947368</v>
      </c>
      <c r="P2" s="33">
        <v>1.0827</v>
      </c>
      <c r="Q2" s="35">
        <f t="shared" ref="Q2:Q22" si="8">(1+SUMPRODUCT(($P$2:$P$22&gt;P2)/COUNTIF($P$2:$P$22,$P$2:$P$22)))*(100/SUMPRODUCT(1/COUNTIF($P$2:$P$22,$P$2:$P$22)))</f>
        <v>14.28571429</v>
      </c>
      <c r="R2" s="24">
        <v>0.636</v>
      </c>
      <c r="S2" s="35">
        <f t="shared" ref="S2:S22" si="9">(1+SUMPRODUCT(($R$2:$R$22&gt;R2)/COUNTIF($R$2:$R$22,$R$2:$R$22)))*(100/SUMPRODUCT(1/COUNTIF($R$2:$R$22,$R$2:$R$22)))</f>
        <v>76.19047619</v>
      </c>
      <c r="T2" s="24">
        <v>0.4068</v>
      </c>
      <c r="U2" s="35">
        <f t="shared" ref="U2:U22" si="10">(1+SUMPRODUCT(($T$2:$T$22&lt;T2)/COUNTIF($T$2:$T$22,$T$2:$T$22)))*(100/SUMPRODUCT(1/COUNTIF($T$2:$T$22,$T$2:$T$22)))</f>
        <v>14.28571429</v>
      </c>
      <c r="V2" s="22">
        <v>20.51</v>
      </c>
      <c r="W2" s="35">
        <f t="shared" ref="W2:W22" si="11">(1+SUMPRODUCT(($V$2:$V$22&lt;V2)/COUNTIF($V$2:$V$22,$V$2:$V$22)))*(100/SUMPRODUCT(1/COUNTIF($V$2:$V$22,$V$2:$V$22)))</f>
        <v>23.80952381</v>
      </c>
      <c r="X2" s="22">
        <v>0.02</v>
      </c>
      <c r="Y2" s="35">
        <f t="shared" ref="Y2:Y22" si="12">(1+SUMPRODUCT(($X$2:$X$22&gt;X2)/COUNTIF($X$2:$X$22,$X$2:$X$22)))*(100/SUMPRODUCT(1/COUNTIF($X$2:$X$22,$X$2:$X$22)))</f>
        <v>50</v>
      </c>
      <c r="Z2" s="36">
        <f t="shared" ref="Z2:Z22" si="13">AVERAGE(C2,E2,G2,I2,Y2)</f>
        <v>50.45112782</v>
      </c>
      <c r="AA2" s="36">
        <f t="shared" ref="AA2:AA22" si="14">AVERAGE(K2,M2,O2,W2)</f>
        <v>46.67919799</v>
      </c>
      <c r="AB2" s="36">
        <f t="shared" ref="AB2:AB22" si="15">AVERAGE(Q2,S2,U2)</f>
        <v>34.92063492</v>
      </c>
      <c r="AC2" s="37">
        <v>60.0</v>
      </c>
      <c r="AD2" s="25">
        <f t="shared" ref="AD2:AD22" si="16">Z2*0.3+AA2*0.35+AB2*0.2+AC2*0.15</f>
        <v>47.45718463</v>
      </c>
      <c r="AE2" s="38">
        <f t="shared" ref="AE2:AE22" si="17">RANK(AD2,AD$2:AD$22,1)</f>
        <v>4</v>
      </c>
    </row>
    <row r="3">
      <c r="A3" s="22" t="s">
        <v>196</v>
      </c>
      <c r="B3" s="22">
        <v>7.19</v>
      </c>
      <c r="C3" s="23">
        <f t="shared" si="1"/>
        <v>71.42857143</v>
      </c>
      <c r="D3" s="24">
        <v>1.0E-4</v>
      </c>
      <c r="E3" s="25">
        <f t="shared" si="2"/>
        <v>68.42105263</v>
      </c>
      <c r="F3" s="26">
        <v>0.1047</v>
      </c>
      <c r="G3" s="27">
        <f t="shared" si="3"/>
        <v>76.19047619</v>
      </c>
      <c r="H3" s="26">
        <v>0.1047</v>
      </c>
      <c r="I3" s="28">
        <f t="shared" si="4"/>
        <v>76.19047619</v>
      </c>
      <c r="J3" s="29">
        <v>1.8348</v>
      </c>
      <c r="K3" s="30">
        <f t="shared" si="5"/>
        <v>9.523809524</v>
      </c>
      <c r="L3" s="31">
        <v>0.0879</v>
      </c>
      <c r="M3" s="32">
        <f t="shared" si="6"/>
        <v>36.84210526</v>
      </c>
      <c r="N3" s="33">
        <v>0.0401</v>
      </c>
      <c r="O3" s="34">
        <f t="shared" si="7"/>
        <v>73.68421053</v>
      </c>
      <c r="P3" s="39">
        <v>0.7028</v>
      </c>
      <c r="Q3" s="35">
        <f t="shared" si="8"/>
        <v>33.33333333</v>
      </c>
      <c r="R3" s="24">
        <v>0.8853</v>
      </c>
      <c r="S3" s="35">
        <f t="shared" si="9"/>
        <v>19.04761905</v>
      </c>
      <c r="T3" s="24">
        <v>0.8127</v>
      </c>
      <c r="U3" s="35">
        <f t="shared" si="10"/>
        <v>38.0952381</v>
      </c>
      <c r="V3" s="22">
        <v>18.33</v>
      </c>
      <c r="W3" s="35">
        <f t="shared" si="11"/>
        <v>14.28571429</v>
      </c>
      <c r="X3" s="22">
        <v>0.0</v>
      </c>
      <c r="Y3" s="35">
        <f t="shared" si="12"/>
        <v>66.66666667</v>
      </c>
      <c r="Z3" s="36">
        <f t="shared" si="13"/>
        <v>71.77944862</v>
      </c>
      <c r="AA3" s="36">
        <f t="shared" si="14"/>
        <v>33.5839599</v>
      </c>
      <c r="AB3" s="36">
        <f t="shared" si="15"/>
        <v>30.15873016</v>
      </c>
      <c r="AC3" s="37">
        <v>62.0</v>
      </c>
      <c r="AD3" s="25">
        <f t="shared" si="16"/>
        <v>48.61996658</v>
      </c>
      <c r="AE3" s="38">
        <f t="shared" si="17"/>
        <v>5</v>
      </c>
    </row>
    <row r="4">
      <c r="A4" s="22" t="s">
        <v>197</v>
      </c>
      <c r="B4" s="22">
        <v>8.68</v>
      </c>
      <c r="C4" s="23">
        <f t="shared" si="1"/>
        <v>57.14285714</v>
      </c>
      <c r="D4" s="24">
        <v>0.0211</v>
      </c>
      <c r="E4" s="25">
        <f t="shared" si="2"/>
        <v>42.10526316</v>
      </c>
      <c r="F4" s="26">
        <v>-0.076</v>
      </c>
      <c r="G4" s="27">
        <f t="shared" si="3"/>
        <v>19.04761905</v>
      </c>
      <c r="H4" s="26">
        <v>-0.076</v>
      </c>
      <c r="I4" s="28">
        <f t="shared" si="4"/>
        <v>19.04761905</v>
      </c>
      <c r="J4" s="29">
        <v>2.0402</v>
      </c>
      <c r="K4" s="30">
        <f t="shared" si="5"/>
        <v>23.80952381</v>
      </c>
      <c r="L4" s="31">
        <v>0.1359</v>
      </c>
      <c r="M4" s="32">
        <f t="shared" si="6"/>
        <v>52.63157895</v>
      </c>
      <c r="N4" s="33">
        <v>0.0542</v>
      </c>
      <c r="O4" s="34">
        <f t="shared" si="7"/>
        <v>63.15789474</v>
      </c>
      <c r="P4" s="39">
        <v>1.2251</v>
      </c>
      <c r="Q4" s="35">
        <f t="shared" si="8"/>
        <v>4.761904762</v>
      </c>
      <c r="R4" s="24">
        <v>0.7363</v>
      </c>
      <c r="S4" s="35">
        <f t="shared" si="9"/>
        <v>47.61904762</v>
      </c>
      <c r="T4" s="24">
        <v>0.5618</v>
      </c>
      <c r="U4" s="35">
        <f t="shared" si="10"/>
        <v>19.04761905</v>
      </c>
      <c r="V4" s="22">
        <v>39.42</v>
      </c>
      <c r="W4" s="35">
        <f t="shared" si="11"/>
        <v>76.19047619</v>
      </c>
      <c r="X4" s="22">
        <v>0.0</v>
      </c>
      <c r="Y4" s="35">
        <f t="shared" si="12"/>
        <v>66.66666667</v>
      </c>
      <c r="Z4" s="36">
        <f t="shared" si="13"/>
        <v>40.80200501</v>
      </c>
      <c r="AA4" s="36">
        <f t="shared" si="14"/>
        <v>53.94736842</v>
      </c>
      <c r="AB4" s="36">
        <f t="shared" si="15"/>
        <v>23.80952381</v>
      </c>
      <c r="AC4" s="37">
        <v>36.0</v>
      </c>
      <c r="AD4" s="25">
        <f t="shared" si="16"/>
        <v>41.28408521</v>
      </c>
      <c r="AE4" s="38">
        <f t="shared" si="17"/>
        <v>1</v>
      </c>
    </row>
    <row r="5">
      <c r="A5" s="22" t="s">
        <v>198</v>
      </c>
      <c r="B5" s="22">
        <v>10.56</v>
      </c>
      <c r="C5" s="23">
        <f t="shared" si="1"/>
        <v>47.61904762</v>
      </c>
      <c r="D5" s="24">
        <v>0.0013</v>
      </c>
      <c r="E5" s="25">
        <f t="shared" si="2"/>
        <v>57.89473684</v>
      </c>
      <c r="F5" s="26">
        <v>0.05</v>
      </c>
      <c r="G5" s="27">
        <f t="shared" si="3"/>
        <v>52.38095238</v>
      </c>
      <c r="H5" s="26">
        <v>0.05</v>
      </c>
      <c r="I5" s="28">
        <f t="shared" si="4"/>
        <v>52.38095238</v>
      </c>
      <c r="J5" s="29">
        <v>1.7986</v>
      </c>
      <c r="K5" s="30">
        <f t="shared" si="5"/>
        <v>4.761904762</v>
      </c>
      <c r="L5" s="31">
        <v>0.0438</v>
      </c>
      <c r="M5" s="32">
        <f t="shared" si="6"/>
        <v>31.57894737</v>
      </c>
      <c r="N5" s="33">
        <v>0.0214</v>
      </c>
      <c r="O5" s="34">
        <f t="shared" si="7"/>
        <v>89.47368421</v>
      </c>
      <c r="P5" s="39">
        <v>1.1722</v>
      </c>
      <c r="Q5" s="35">
        <f t="shared" si="8"/>
        <v>9.523809524</v>
      </c>
      <c r="R5" s="24">
        <v>0.83</v>
      </c>
      <c r="S5" s="35">
        <f t="shared" si="9"/>
        <v>23.80952381</v>
      </c>
      <c r="T5" s="24">
        <v>0.9136</v>
      </c>
      <c r="U5" s="35">
        <f t="shared" si="10"/>
        <v>66.66666667</v>
      </c>
      <c r="V5" s="22">
        <v>36.93</v>
      </c>
      <c r="W5" s="35">
        <f t="shared" si="11"/>
        <v>71.42857143</v>
      </c>
      <c r="X5" s="22">
        <v>0.0</v>
      </c>
      <c r="Y5" s="35">
        <f t="shared" si="12"/>
        <v>66.66666667</v>
      </c>
      <c r="Z5" s="36">
        <f t="shared" si="13"/>
        <v>55.38847118</v>
      </c>
      <c r="AA5" s="36">
        <f t="shared" si="14"/>
        <v>49.31077694</v>
      </c>
      <c r="AB5" s="36">
        <f t="shared" si="15"/>
        <v>33.33333333</v>
      </c>
      <c r="AC5" s="37">
        <v>39.0</v>
      </c>
      <c r="AD5" s="25">
        <f t="shared" si="16"/>
        <v>46.39197995</v>
      </c>
      <c r="AE5" s="38">
        <f t="shared" si="17"/>
        <v>3</v>
      </c>
    </row>
    <row r="6">
      <c r="A6" s="22" t="s">
        <v>199</v>
      </c>
      <c r="B6" s="22">
        <v>6.63</v>
      </c>
      <c r="C6" s="23">
        <f t="shared" si="1"/>
        <v>85.71428571</v>
      </c>
      <c r="D6" s="24">
        <v>0.0407</v>
      </c>
      <c r="E6" s="25">
        <f t="shared" si="2"/>
        <v>26.31578947</v>
      </c>
      <c r="F6" s="26">
        <v>0.0222</v>
      </c>
      <c r="G6" s="27">
        <f t="shared" si="3"/>
        <v>42.85714286</v>
      </c>
      <c r="H6" s="26">
        <v>0.0222</v>
      </c>
      <c r="I6" s="28">
        <f t="shared" si="4"/>
        <v>42.85714286</v>
      </c>
      <c r="J6" s="29">
        <v>2.2079</v>
      </c>
      <c r="K6" s="30">
        <f t="shared" si="5"/>
        <v>38.0952381</v>
      </c>
      <c r="L6" s="31">
        <v>0.0385</v>
      </c>
      <c r="M6" s="32">
        <f t="shared" si="6"/>
        <v>21.05263158</v>
      </c>
      <c r="N6" s="33">
        <v>0.0317</v>
      </c>
      <c r="O6" s="34">
        <f t="shared" si="7"/>
        <v>78.94736842</v>
      </c>
      <c r="P6" s="39">
        <v>0.5448</v>
      </c>
      <c r="Q6" s="35">
        <f t="shared" si="8"/>
        <v>47.61904762</v>
      </c>
      <c r="R6" s="24">
        <v>0.3873</v>
      </c>
      <c r="S6" s="35">
        <f t="shared" si="9"/>
        <v>90.47619048</v>
      </c>
      <c r="T6" s="24">
        <v>1.1933</v>
      </c>
      <c r="U6" s="35">
        <f t="shared" si="10"/>
        <v>90.47619048</v>
      </c>
      <c r="V6" s="22">
        <v>25.86</v>
      </c>
      <c r="W6" s="35">
        <f t="shared" si="11"/>
        <v>42.85714286</v>
      </c>
      <c r="X6" s="22">
        <v>-0.01</v>
      </c>
      <c r="Y6" s="35">
        <f t="shared" si="12"/>
        <v>83.33333333</v>
      </c>
      <c r="Z6" s="36">
        <f t="shared" si="13"/>
        <v>56.21553885</v>
      </c>
      <c r="AA6" s="36">
        <f t="shared" si="14"/>
        <v>45.23809524</v>
      </c>
      <c r="AB6" s="36">
        <f t="shared" si="15"/>
        <v>76.19047619</v>
      </c>
      <c r="AC6" s="37">
        <v>71.0</v>
      </c>
      <c r="AD6" s="25">
        <f t="shared" si="16"/>
        <v>58.58609023</v>
      </c>
      <c r="AE6" s="38">
        <f t="shared" si="17"/>
        <v>16</v>
      </c>
    </row>
    <row r="7">
      <c r="A7" s="22" t="s">
        <v>200</v>
      </c>
      <c r="B7" s="22">
        <v>6.21</v>
      </c>
      <c r="C7" s="23">
        <f t="shared" si="1"/>
        <v>95.23809524</v>
      </c>
      <c r="D7" s="24">
        <v>0.0</v>
      </c>
      <c r="E7" s="25">
        <f t="shared" si="2"/>
        <v>73.68421053</v>
      </c>
      <c r="F7" s="26">
        <v>0.0399</v>
      </c>
      <c r="G7" s="27">
        <f t="shared" si="3"/>
        <v>47.61904762</v>
      </c>
      <c r="H7" s="26">
        <v>0.0399</v>
      </c>
      <c r="I7" s="28">
        <f t="shared" si="4"/>
        <v>47.61904762</v>
      </c>
      <c r="J7" s="29">
        <v>2.2199</v>
      </c>
      <c r="K7" s="30">
        <f t="shared" si="5"/>
        <v>42.85714286</v>
      </c>
      <c r="L7" s="31">
        <v>0.0437</v>
      </c>
      <c r="M7" s="32">
        <f t="shared" si="6"/>
        <v>26.31578947</v>
      </c>
      <c r="N7" s="33">
        <v>0.0297</v>
      </c>
      <c r="O7" s="34">
        <f t="shared" si="7"/>
        <v>84.21052632</v>
      </c>
      <c r="P7" s="39">
        <v>0.6918</v>
      </c>
      <c r="Q7" s="35">
        <f t="shared" si="8"/>
        <v>38.0952381</v>
      </c>
      <c r="R7" s="24">
        <v>0.7234</v>
      </c>
      <c r="S7" s="35">
        <f t="shared" si="9"/>
        <v>52.38095238</v>
      </c>
      <c r="T7" s="24">
        <v>1.0138</v>
      </c>
      <c r="U7" s="35">
        <f t="shared" si="10"/>
        <v>85.71428571</v>
      </c>
      <c r="V7" s="22">
        <v>21.82</v>
      </c>
      <c r="W7" s="35">
        <f t="shared" si="11"/>
        <v>28.57142857</v>
      </c>
      <c r="X7" s="22">
        <v>0.0</v>
      </c>
      <c r="Y7" s="35">
        <f t="shared" si="12"/>
        <v>66.66666667</v>
      </c>
      <c r="Z7" s="36">
        <f t="shared" si="13"/>
        <v>66.16541353</v>
      </c>
      <c r="AA7" s="36">
        <f t="shared" si="14"/>
        <v>45.4887218</v>
      </c>
      <c r="AB7" s="36">
        <f t="shared" si="15"/>
        <v>58.73015873</v>
      </c>
      <c r="AC7" s="37">
        <v>75.0</v>
      </c>
      <c r="AD7" s="25">
        <f t="shared" si="16"/>
        <v>58.76670844</v>
      </c>
      <c r="AE7" s="38">
        <f t="shared" si="17"/>
        <v>17</v>
      </c>
    </row>
    <row r="8">
      <c r="A8" s="22" t="s">
        <v>201</v>
      </c>
      <c r="B8" s="22">
        <v>8.53</v>
      </c>
      <c r="C8" s="23">
        <f t="shared" si="1"/>
        <v>61.9047619</v>
      </c>
      <c r="D8" s="24">
        <v>-0.1107</v>
      </c>
      <c r="E8" s="25">
        <f t="shared" si="2"/>
        <v>84.21052632</v>
      </c>
      <c r="F8" s="26">
        <v>-0.0355</v>
      </c>
      <c r="G8" s="27">
        <f t="shared" si="3"/>
        <v>23.80952381</v>
      </c>
      <c r="H8" s="26">
        <v>-0.0355</v>
      </c>
      <c r="I8" s="28">
        <f t="shared" si="4"/>
        <v>23.80952381</v>
      </c>
      <c r="J8" s="29">
        <v>2.3871</v>
      </c>
      <c r="K8" s="30">
        <f t="shared" si="5"/>
        <v>66.66666667</v>
      </c>
      <c r="L8" s="31">
        <v>0.3653</v>
      </c>
      <c r="M8" s="32">
        <f t="shared" si="6"/>
        <v>78.94736842</v>
      </c>
      <c r="N8" s="33">
        <v>0.174</v>
      </c>
      <c r="O8" s="34">
        <f t="shared" si="7"/>
        <v>31.57894737</v>
      </c>
      <c r="P8" s="39">
        <v>0.1324</v>
      </c>
      <c r="Q8" s="35">
        <f t="shared" si="8"/>
        <v>100</v>
      </c>
      <c r="R8" s="24">
        <v>0.7054</v>
      </c>
      <c r="S8" s="35">
        <f t="shared" si="9"/>
        <v>57.14285714</v>
      </c>
      <c r="T8" s="24">
        <v>0.8711</v>
      </c>
      <c r="U8" s="35">
        <f t="shared" si="10"/>
        <v>52.38095238</v>
      </c>
      <c r="V8" s="22">
        <v>35.58</v>
      </c>
      <c r="W8" s="35">
        <f t="shared" si="11"/>
        <v>61.9047619</v>
      </c>
      <c r="X8" s="22">
        <v>-0.01</v>
      </c>
      <c r="Y8" s="35">
        <f t="shared" si="12"/>
        <v>83.33333333</v>
      </c>
      <c r="Z8" s="36">
        <f t="shared" si="13"/>
        <v>55.41353383</v>
      </c>
      <c r="AA8" s="36">
        <f t="shared" si="14"/>
        <v>59.77443609</v>
      </c>
      <c r="AB8" s="36">
        <f t="shared" si="15"/>
        <v>69.84126984</v>
      </c>
      <c r="AC8" s="37">
        <v>74.0</v>
      </c>
      <c r="AD8" s="25">
        <f t="shared" si="16"/>
        <v>62.61336675</v>
      </c>
      <c r="AE8" s="38">
        <f t="shared" si="17"/>
        <v>18</v>
      </c>
    </row>
    <row r="9">
      <c r="A9" s="22" t="s">
        <v>202</v>
      </c>
      <c r="B9" s="22">
        <v>11.12</v>
      </c>
      <c r="C9" s="23">
        <f t="shared" si="1"/>
        <v>42.85714286</v>
      </c>
      <c r="D9" s="24">
        <v>0.0108</v>
      </c>
      <c r="E9" s="25">
        <f t="shared" si="2"/>
        <v>47.36842105</v>
      </c>
      <c r="F9" s="26">
        <v>0.1033</v>
      </c>
      <c r="G9" s="27">
        <f t="shared" si="3"/>
        <v>71.42857143</v>
      </c>
      <c r="H9" s="26">
        <v>0.1033</v>
      </c>
      <c r="I9" s="28">
        <f t="shared" si="4"/>
        <v>71.42857143</v>
      </c>
      <c r="J9" s="29">
        <v>2.1725</v>
      </c>
      <c r="K9" s="30">
        <f t="shared" si="5"/>
        <v>28.57142857</v>
      </c>
      <c r="L9" s="31">
        <v>0.1762</v>
      </c>
      <c r="M9" s="32">
        <f t="shared" si="6"/>
        <v>57.89473684</v>
      </c>
      <c r="N9" s="33">
        <v>0.0814</v>
      </c>
      <c r="O9" s="34">
        <f t="shared" si="7"/>
        <v>42.10526316</v>
      </c>
      <c r="P9" s="39">
        <v>0.1357</v>
      </c>
      <c r="Q9" s="35">
        <f t="shared" si="8"/>
        <v>95.23809524</v>
      </c>
      <c r="R9" s="24">
        <v>0.7941</v>
      </c>
      <c r="S9" s="35">
        <f t="shared" si="9"/>
        <v>28.57142857</v>
      </c>
      <c r="T9" s="24">
        <v>0.9459</v>
      </c>
      <c r="U9" s="35">
        <f t="shared" si="10"/>
        <v>71.42857143</v>
      </c>
      <c r="V9" s="22">
        <v>35.66</v>
      </c>
      <c r="W9" s="35">
        <f t="shared" si="11"/>
        <v>66.66666667</v>
      </c>
      <c r="X9" s="22">
        <v>0.0</v>
      </c>
      <c r="Y9" s="35">
        <f t="shared" si="12"/>
        <v>66.66666667</v>
      </c>
      <c r="Z9" s="36">
        <f t="shared" si="13"/>
        <v>59.94987469</v>
      </c>
      <c r="AA9" s="36">
        <f t="shared" si="14"/>
        <v>48.80952381</v>
      </c>
      <c r="AB9" s="36">
        <f t="shared" si="15"/>
        <v>65.07936508</v>
      </c>
      <c r="AC9" s="37">
        <v>65.0</v>
      </c>
      <c r="AD9" s="25">
        <f t="shared" si="16"/>
        <v>57.83416876</v>
      </c>
      <c r="AE9" s="38">
        <f t="shared" si="17"/>
        <v>15</v>
      </c>
    </row>
    <row r="10">
      <c r="A10" s="22" t="s">
        <v>203</v>
      </c>
      <c r="B10" s="22">
        <v>34.41</v>
      </c>
      <c r="C10" s="23">
        <f t="shared" si="1"/>
        <v>23.80952381</v>
      </c>
      <c r="D10" s="24">
        <v>-0.0292</v>
      </c>
      <c r="E10" s="25">
        <f t="shared" si="2"/>
        <v>78.94736842</v>
      </c>
      <c r="F10" s="26">
        <v>-0.0196</v>
      </c>
      <c r="G10" s="27">
        <f t="shared" si="3"/>
        <v>28.57142857</v>
      </c>
      <c r="H10" s="26">
        <v>-0.0196</v>
      </c>
      <c r="I10" s="28">
        <f t="shared" si="4"/>
        <v>28.57142857</v>
      </c>
      <c r="J10" s="29">
        <v>2.8032</v>
      </c>
      <c r="K10" s="30">
        <f t="shared" si="5"/>
        <v>85.71428571</v>
      </c>
      <c r="L10" s="31">
        <v>0.2509</v>
      </c>
      <c r="M10" s="32">
        <f t="shared" si="6"/>
        <v>68.42105263</v>
      </c>
      <c r="N10" s="33">
        <v>0.0571</v>
      </c>
      <c r="O10" s="34">
        <f t="shared" si="7"/>
        <v>52.63157895</v>
      </c>
      <c r="P10" s="39">
        <v>0.501</v>
      </c>
      <c r="Q10" s="35">
        <f t="shared" si="8"/>
        <v>52.38095238</v>
      </c>
      <c r="R10" s="24">
        <v>0.6528</v>
      </c>
      <c r="S10" s="35">
        <f t="shared" si="9"/>
        <v>66.66666667</v>
      </c>
      <c r="T10" s="24">
        <v>0.8179</v>
      </c>
      <c r="U10" s="35">
        <f t="shared" si="10"/>
        <v>42.85714286</v>
      </c>
      <c r="V10" s="22">
        <v>74.06</v>
      </c>
      <c r="W10" s="35">
        <f t="shared" si="11"/>
        <v>85.71428571</v>
      </c>
      <c r="X10" s="22">
        <v>0.0</v>
      </c>
      <c r="Y10" s="35">
        <f t="shared" si="12"/>
        <v>66.66666667</v>
      </c>
      <c r="Z10" s="36">
        <f t="shared" si="13"/>
        <v>45.31328321</v>
      </c>
      <c r="AA10" s="36">
        <f t="shared" si="14"/>
        <v>73.12030075</v>
      </c>
      <c r="AB10" s="36">
        <f t="shared" si="15"/>
        <v>53.96825397</v>
      </c>
      <c r="AC10" s="37">
        <v>48.0</v>
      </c>
      <c r="AD10" s="25">
        <f t="shared" si="16"/>
        <v>57.17974102</v>
      </c>
      <c r="AE10" s="38">
        <f t="shared" si="17"/>
        <v>13</v>
      </c>
    </row>
    <row r="11">
      <c r="A11" s="22" t="s">
        <v>204</v>
      </c>
      <c r="B11" s="22">
        <v>53.37</v>
      </c>
      <c r="C11" s="23">
        <f t="shared" si="1"/>
        <v>14.28571429</v>
      </c>
      <c r="D11" s="24">
        <v>0.1955</v>
      </c>
      <c r="E11" s="25">
        <f t="shared" si="2"/>
        <v>10.52631579</v>
      </c>
      <c r="F11" s="26">
        <v>-0.0907</v>
      </c>
      <c r="G11" s="27">
        <f t="shared" si="3"/>
        <v>14.28571429</v>
      </c>
      <c r="H11" s="26">
        <v>-0.0907</v>
      </c>
      <c r="I11" s="28">
        <f t="shared" si="4"/>
        <v>14.28571429</v>
      </c>
      <c r="J11" s="29">
        <v>1.9679</v>
      </c>
      <c r="K11" s="30">
        <f t="shared" si="5"/>
        <v>19.04761905</v>
      </c>
      <c r="L11" s="31">
        <v>2.5109</v>
      </c>
      <c r="M11" s="32">
        <f t="shared" si="6"/>
        <v>100</v>
      </c>
      <c r="N11" s="33">
        <v>0.6594</v>
      </c>
      <c r="O11" s="34">
        <f t="shared" si="7"/>
        <v>5.263157895</v>
      </c>
      <c r="P11" s="39">
        <v>0.204</v>
      </c>
      <c r="Q11" s="35">
        <f t="shared" si="8"/>
        <v>85.71428571</v>
      </c>
      <c r="R11" s="24">
        <v>0.1583</v>
      </c>
      <c r="S11" s="35">
        <f t="shared" si="9"/>
        <v>100</v>
      </c>
      <c r="T11" s="24">
        <v>0.9106</v>
      </c>
      <c r="U11" s="35">
        <f t="shared" si="10"/>
        <v>61.9047619</v>
      </c>
      <c r="V11" s="22">
        <v>130.1</v>
      </c>
      <c r="W11" s="35">
        <f t="shared" si="11"/>
        <v>100</v>
      </c>
      <c r="X11" s="22">
        <v>-0.04</v>
      </c>
      <c r="Y11" s="35">
        <f t="shared" si="12"/>
        <v>100</v>
      </c>
      <c r="Z11" s="36">
        <f t="shared" si="13"/>
        <v>30.67669173</v>
      </c>
      <c r="AA11" s="36">
        <f t="shared" si="14"/>
        <v>56.07769424</v>
      </c>
      <c r="AB11" s="36">
        <f t="shared" si="15"/>
        <v>82.53968254</v>
      </c>
      <c r="AC11" s="37">
        <v>52.0</v>
      </c>
      <c r="AD11" s="25">
        <f t="shared" si="16"/>
        <v>53.13813701</v>
      </c>
      <c r="AE11" s="38">
        <f t="shared" si="17"/>
        <v>11</v>
      </c>
    </row>
    <row r="12">
      <c r="A12" s="22" t="s">
        <v>205</v>
      </c>
      <c r="B12" s="22">
        <v>21.77</v>
      </c>
      <c r="C12" s="23">
        <f t="shared" si="1"/>
        <v>28.57142857</v>
      </c>
      <c r="D12" s="24">
        <v>0.0029</v>
      </c>
      <c r="E12" s="25">
        <f t="shared" si="2"/>
        <v>52.63157895</v>
      </c>
      <c r="F12" s="26">
        <v>0.0949</v>
      </c>
      <c r="G12" s="27">
        <f t="shared" si="3"/>
        <v>66.66666667</v>
      </c>
      <c r="H12" s="26">
        <v>0.0949</v>
      </c>
      <c r="I12" s="28">
        <f t="shared" si="4"/>
        <v>66.66666667</v>
      </c>
      <c r="J12" s="29">
        <v>2.7128</v>
      </c>
      <c r="K12" s="30">
        <f t="shared" si="5"/>
        <v>80.95238095</v>
      </c>
      <c r="L12" s="31">
        <v>0.0904</v>
      </c>
      <c r="M12" s="32">
        <f t="shared" si="6"/>
        <v>42.10526316</v>
      </c>
      <c r="N12" s="33">
        <v>0.0434</v>
      </c>
      <c r="O12" s="34">
        <f t="shared" si="7"/>
        <v>68.42105263</v>
      </c>
      <c r="P12" s="39">
        <v>0.4533</v>
      </c>
      <c r="Q12" s="35">
        <f t="shared" si="8"/>
        <v>61.9047619</v>
      </c>
      <c r="R12" s="24">
        <v>0.7695</v>
      </c>
      <c r="S12" s="35">
        <f t="shared" si="9"/>
        <v>33.33333333</v>
      </c>
      <c r="T12" s="24">
        <v>1.0052</v>
      </c>
      <c r="U12" s="35">
        <f t="shared" si="10"/>
        <v>76.19047619</v>
      </c>
      <c r="V12" s="22">
        <v>33.42</v>
      </c>
      <c r="W12" s="35">
        <f t="shared" si="11"/>
        <v>57.14285714</v>
      </c>
      <c r="X12" s="22">
        <v>0.0</v>
      </c>
      <c r="Y12" s="35">
        <f t="shared" si="12"/>
        <v>66.66666667</v>
      </c>
      <c r="Z12" s="36">
        <f t="shared" si="13"/>
        <v>56.2406015</v>
      </c>
      <c r="AA12" s="36">
        <f t="shared" si="14"/>
        <v>62.15538847</v>
      </c>
      <c r="AB12" s="36">
        <f t="shared" si="15"/>
        <v>57.14285714</v>
      </c>
      <c r="AC12" s="37">
        <v>51.0</v>
      </c>
      <c r="AD12" s="25">
        <f t="shared" si="16"/>
        <v>57.70513784</v>
      </c>
      <c r="AE12" s="38">
        <f t="shared" si="17"/>
        <v>14</v>
      </c>
    </row>
    <row r="13">
      <c r="A13" s="22" t="s">
        <v>206</v>
      </c>
      <c r="B13" s="22">
        <v>6.14</v>
      </c>
      <c r="C13" s="23">
        <f t="shared" si="1"/>
        <v>100</v>
      </c>
      <c r="D13" s="24">
        <v>2.0E-4</v>
      </c>
      <c r="E13" s="25">
        <f t="shared" si="2"/>
        <v>63.15789474</v>
      </c>
      <c r="F13" s="26">
        <v>0.9918</v>
      </c>
      <c r="G13" s="27">
        <f t="shared" si="3"/>
        <v>90.47619048</v>
      </c>
      <c r="H13" s="26">
        <v>0.9918</v>
      </c>
      <c r="I13" s="28">
        <f t="shared" si="4"/>
        <v>90.47619048</v>
      </c>
      <c r="J13" s="29">
        <v>2.2065</v>
      </c>
      <c r="K13" s="30">
        <f t="shared" si="5"/>
        <v>33.33333333</v>
      </c>
      <c r="L13" s="31">
        <v>0.5752</v>
      </c>
      <c r="M13" s="32">
        <f t="shared" si="6"/>
        <v>89.47368421</v>
      </c>
      <c r="N13" s="33">
        <v>0.2794</v>
      </c>
      <c r="O13" s="34">
        <f t="shared" si="7"/>
        <v>10.52631579</v>
      </c>
      <c r="P13" s="39">
        <v>0.172</v>
      </c>
      <c r="Q13" s="35">
        <f t="shared" si="8"/>
        <v>90.47619048</v>
      </c>
      <c r="R13" s="24">
        <v>0.494</v>
      </c>
      <c r="S13" s="35">
        <f t="shared" si="9"/>
        <v>80.95238095</v>
      </c>
      <c r="T13" s="24">
        <v>0.7166</v>
      </c>
      <c r="U13" s="35">
        <f t="shared" si="10"/>
        <v>33.33333333</v>
      </c>
      <c r="V13" s="22">
        <v>114.43</v>
      </c>
      <c r="W13" s="35">
        <f t="shared" si="11"/>
        <v>95.23809524</v>
      </c>
      <c r="X13" s="22">
        <v>0.0</v>
      </c>
      <c r="Y13" s="35">
        <f t="shared" si="12"/>
        <v>66.66666667</v>
      </c>
      <c r="Z13" s="36">
        <f t="shared" si="13"/>
        <v>82.15538847</v>
      </c>
      <c r="AA13" s="36">
        <f t="shared" si="14"/>
        <v>57.14285714</v>
      </c>
      <c r="AB13" s="36">
        <f t="shared" si="15"/>
        <v>68.25396825</v>
      </c>
      <c r="AC13" s="37">
        <v>69.0</v>
      </c>
      <c r="AD13" s="25">
        <f t="shared" si="16"/>
        <v>68.64741019</v>
      </c>
      <c r="AE13" s="38">
        <f t="shared" si="17"/>
        <v>21</v>
      </c>
    </row>
    <row r="14">
      <c r="A14" s="22" t="s">
        <v>207</v>
      </c>
      <c r="B14" s="22">
        <v>6.95</v>
      </c>
      <c r="C14" s="23">
        <f t="shared" si="1"/>
        <v>76.19047619</v>
      </c>
      <c r="D14" s="24">
        <v>-0.5842</v>
      </c>
      <c r="E14" s="25">
        <f t="shared" si="2"/>
        <v>94.73684211</v>
      </c>
      <c r="F14" s="26">
        <v>-0.1473</v>
      </c>
      <c r="G14" s="27">
        <f t="shared" si="3"/>
        <v>9.523809524</v>
      </c>
      <c r="H14" s="26">
        <v>-0.1473</v>
      </c>
      <c r="I14" s="28">
        <f t="shared" si="4"/>
        <v>9.523809524</v>
      </c>
      <c r="J14" s="29">
        <v>2.3038</v>
      </c>
      <c r="K14" s="30">
        <f t="shared" si="5"/>
        <v>61.9047619</v>
      </c>
      <c r="L14" s="31">
        <v>0.3697</v>
      </c>
      <c r="M14" s="32">
        <f t="shared" si="6"/>
        <v>84.21052632</v>
      </c>
      <c r="N14" s="33">
        <v>0.1751</v>
      </c>
      <c r="O14" s="34">
        <f t="shared" si="7"/>
        <v>26.31578947</v>
      </c>
      <c r="P14" s="39">
        <v>0.4249</v>
      </c>
      <c r="Q14" s="35">
        <f t="shared" si="8"/>
        <v>66.66666667</v>
      </c>
      <c r="R14" s="24">
        <v>0.7506</v>
      </c>
      <c r="S14" s="35">
        <f t="shared" si="9"/>
        <v>38.0952381</v>
      </c>
      <c r="T14" s="24">
        <v>0.3771</v>
      </c>
      <c r="U14" s="35">
        <f t="shared" si="10"/>
        <v>9.523809524</v>
      </c>
      <c r="V14" s="22">
        <v>29.1</v>
      </c>
      <c r="W14" s="35">
        <f t="shared" si="11"/>
        <v>52.38095238</v>
      </c>
      <c r="X14" s="22">
        <v>0.0</v>
      </c>
      <c r="Y14" s="35">
        <f t="shared" si="12"/>
        <v>66.66666667</v>
      </c>
      <c r="Z14" s="36">
        <f t="shared" si="13"/>
        <v>51.3283208</v>
      </c>
      <c r="AA14" s="36">
        <f t="shared" si="14"/>
        <v>56.20300752</v>
      </c>
      <c r="AB14" s="36">
        <f t="shared" si="15"/>
        <v>38.0952381</v>
      </c>
      <c r="AC14" s="37">
        <v>83.0</v>
      </c>
      <c r="AD14" s="25">
        <f t="shared" si="16"/>
        <v>55.13859649</v>
      </c>
      <c r="AE14" s="38">
        <f t="shared" si="17"/>
        <v>12</v>
      </c>
    </row>
    <row r="15">
      <c r="A15" s="22" t="s">
        <v>208</v>
      </c>
      <c r="B15" s="22">
        <v>6.77</v>
      </c>
      <c r="C15" s="23">
        <f t="shared" si="1"/>
        <v>80.95238095</v>
      </c>
      <c r="D15" s="24">
        <v>0.0</v>
      </c>
      <c r="E15" s="25">
        <f t="shared" si="2"/>
        <v>73.68421053</v>
      </c>
      <c r="F15" s="26">
        <v>2.6424</v>
      </c>
      <c r="G15" s="27">
        <f t="shared" si="3"/>
        <v>95.23809524</v>
      </c>
      <c r="H15" s="26">
        <v>2.6424</v>
      </c>
      <c r="I15" s="28">
        <f t="shared" si="4"/>
        <v>95.23809524</v>
      </c>
      <c r="J15" s="29">
        <v>2.2274</v>
      </c>
      <c r="K15" s="30">
        <f t="shared" si="5"/>
        <v>47.61904762</v>
      </c>
      <c r="L15" s="31">
        <v>0.3032</v>
      </c>
      <c r="M15" s="32">
        <f t="shared" si="6"/>
        <v>73.68421053</v>
      </c>
      <c r="N15" s="33">
        <v>0.2213</v>
      </c>
      <c r="O15" s="34">
        <f t="shared" si="7"/>
        <v>21.05263158</v>
      </c>
      <c r="P15" s="39">
        <v>1.0071</v>
      </c>
      <c r="Q15" s="35">
        <f t="shared" si="8"/>
        <v>19.04761905</v>
      </c>
      <c r="R15" s="24">
        <v>0.4904</v>
      </c>
      <c r="S15" s="35">
        <f t="shared" si="9"/>
        <v>85.71428571</v>
      </c>
      <c r="T15" s="24">
        <v>0.8745</v>
      </c>
      <c r="U15" s="35">
        <f t="shared" si="10"/>
        <v>57.14285714</v>
      </c>
      <c r="V15" s="22">
        <v>47.01</v>
      </c>
      <c r="W15" s="35">
        <f t="shared" si="11"/>
        <v>80.95238095</v>
      </c>
      <c r="X15" s="22">
        <v>0.29</v>
      </c>
      <c r="Y15" s="35">
        <f t="shared" si="12"/>
        <v>16.66666667</v>
      </c>
      <c r="Z15" s="36">
        <f t="shared" si="13"/>
        <v>72.35588972</v>
      </c>
      <c r="AA15" s="36">
        <f t="shared" si="14"/>
        <v>55.82706767</v>
      </c>
      <c r="AB15" s="36">
        <f t="shared" si="15"/>
        <v>53.96825397</v>
      </c>
      <c r="AC15" s="37">
        <v>80.0</v>
      </c>
      <c r="AD15" s="25">
        <f t="shared" si="16"/>
        <v>64.0398914</v>
      </c>
      <c r="AE15" s="38">
        <f t="shared" si="17"/>
        <v>19</v>
      </c>
    </row>
    <row r="16">
      <c r="A16" s="22" t="s">
        <v>209</v>
      </c>
      <c r="B16" s="22">
        <v>149.37</v>
      </c>
      <c r="C16" s="23">
        <f t="shared" si="1"/>
        <v>4.761904762</v>
      </c>
      <c r="D16" s="24">
        <v>0.0572</v>
      </c>
      <c r="E16" s="25">
        <f t="shared" si="2"/>
        <v>15.78947368</v>
      </c>
      <c r="F16" s="26">
        <v>0.0501</v>
      </c>
      <c r="G16" s="27">
        <f t="shared" si="3"/>
        <v>57.14285714</v>
      </c>
      <c r="H16" s="26">
        <v>0.0501</v>
      </c>
      <c r="I16" s="28">
        <f t="shared" si="4"/>
        <v>57.14285714</v>
      </c>
      <c r="J16" s="29">
        <v>3.164</v>
      </c>
      <c r="K16" s="30">
        <f t="shared" si="5"/>
        <v>95.23809524</v>
      </c>
      <c r="L16" s="31">
        <v>0.0</v>
      </c>
      <c r="M16" s="32">
        <f t="shared" si="6"/>
        <v>5.263157895</v>
      </c>
      <c r="N16" s="33">
        <v>0.0</v>
      </c>
      <c r="O16" s="34">
        <f t="shared" si="7"/>
        <v>100</v>
      </c>
      <c r="P16" s="39">
        <v>0.406</v>
      </c>
      <c r="Q16" s="35">
        <f t="shared" si="8"/>
        <v>76.19047619</v>
      </c>
      <c r="R16" s="24">
        <v>0.9974</v>
      </c>
      <c r="S16" s="35">
        <f t="shared" si="9"/>
        <v>4.761904762</v>
      </c>
      <c r="T16" s="24">
        <v>2.1612</v>
      </c>
      <c r="U16" s="35">
        <f t="shared" si="10"/>
        <v>95.23809524</v>
      </c>
      <c r="V16" s="22">
        <v>19.88</v>
      </c>
      <c r="W16" s="35">
        <f t="shared" si="11"/>
        <v>19.04761905</v>
      </c>
      <c r="X16" s="22">
        <v>-0.01</v>
      </c>
      <c r="Y16" s="35">
        <f t="shared" si="12"/>
        <v>83.33333333</v>
      </c>
      <c r="Z16" s="36">
        <f t="shared" si="13"/>
        <v>43.63408521</v>
      </c>
      <c r="AA16" s="36">
        <f t="shared" si="14"/>
        <v>54.88721805</v>
      </c>
      <c r="AB16" s="36">
        <f t="shared" si="15"/>
        <v>58.73015873</v>
      </c>
      <c r="AC16" s="37">
        <v>32.0</v>
      </c>
      <c r="AD16" s="25">
        <f t="shared" si="16"/>
        <v>48.84678363</v>
      </c>
      <c r="AE16" s="38">
        <f t="shared" si="17"/>
        <v>7</v>
      </c>
    </row>
    <row r="17">
      <c r="A17" s="22" t="s">
        <v>210</v>
      </c>
      <c r="B17" s="22">
        <v>47.92</v>
      </c>
      <c r="C17" s="23">
        <f t="shared" si="1"/>
        <v>19.04761905</v>
      </c>
      <c r="D17" s="24">
        <v>0.0288</v>
      </c>
      <c r="E17" s="25">
        <f t="shared" si="2"/>
        <v>31.57894737</v>
      </c>
      <c r="F17" s="26">
        <v>-0.0122</v>
      </c>
      <c r="G17" s="27">
        <f t="shared" si="3"/>
        <v>33.33333333</v>
      </c>
      <c r="H17" s="26">
        <v>-0.0122</v>
      </c>
      <c r="I17" s="28">
        <f t="shared" si="4"/>
        <v>33.33333333</v>
      </c>
      <c r="J17" s="29">
        <v>2.4079</v>
      </c>
      <c r="K17" s="30">
        <f t="shared" si="5"/>
        <v>71.42857143</v>
      </c>
      <c r="L17" s="31">
        <v>0.0</v>
      </c>
      <c r="M17" s="32">
        <f t="shared" si="6"/>
        <v>5.263157895</v>
      </c>
      <c r="N17" s="33">
        <v>0.0</v>
      </c>
      <c r="O17" s="34">
        <f t="shared" si="7"/>
        <v>100</v>
      </c>
      <c r="P17" s="39">
        <v>0.4936</v>
      </c>
      <c r="Q17" s="35">
        <f t="shared" si="8"/>
        <v>57.14285714</v>
      </c>
      <c r="R17" s="24">
        <v>0.9926</v>
      </c>
      <c r="S17" s="35">
        <f t="shared" si="9"/>
        <v>9.523809524</v>
      </c>
      <c r="T17" s="24">
        <v>1.0113</v>
      </c>
      <c r="U17" s="35">
        <f t="shared" si="10"/>
        <v>80.95238095</v>
      </c>
      <c r="V17" s="22">
        <v>16.5</v>
      </c>
      <c r="W17" s="35">
        <f t="shared" si="11"/>
        <v>4.761904762</v>
      </c>
      <c r="X17" s="22">
        <v>0.0</v>
      </c>
      <c r="Y17" s="35">
        <f t="shared" si="12"/>
        <v>66.66666667</v>
      </c>
      <c r="Z17" s="36">
        <f t="shared" si="13"/>
        <v>36.79197995</v>
      </c>
      <c r="AA17" s="36">
        <f t="shared" si="14"/>
        <v>45.36340852</v>
      </c>
      <c r="AB17" s="36">
        <f t="shared" si="15"/>
        <v>49.20634921</v>
      </c>
      <c r="AC17" s="37">
        <v>31.0</v>
      </c>
      <c r="AD17" s="25">
        <f t="shared" si="16"/>
        <v>41.40605681</v>
      </c>
      <c r="AE17" s="38">
        <f t="shared" si="17"/>
        <v>2</v>
      </c>
    </row>
    <row r="18">
      <c r="A18" s="22" t="s">
        <v>211</v>
      </c>
      <c r="B18" s="22">
        <v>8.17</v>
      </c>
      <c r="C18" s="23">
        <f t="shared" si="1"/>
        <v>66.66666667</v>
      </c>
      <c r="D18" s="24">
        <v>-0.3465</v>
      </c>
      <c r="E18" s="25">
        <f t="shared" si="2"/>
        <v>89.47368421</v>
      </c>
      <c r="F18" s="26">
        <v>0.0875</v>
      </c>
      <c r="G18" s="27">
        <f t="shared" si="3"/>
        <v>61.9047619</v>
      </c>
      <c r="H18" s="26">
        <v>0.0875</v>
      </c>
      <c r="I18" s="28">
        <f t="shared" si="4"/>
        <v>61.9047619</v>
      </c>
      <c r="J18" s="29">
        <v>2.3001</v>
      </c>
      <c r="K18" s="30">
        <f t="shared" si="5"/>
        <v>57.14285714</v>
      </c>
      <c r="L18" s="31">
        <v>0.1124</v>
      </c>
      <c r="M18" s="32">
        <f t="shared" si="6"/>
        <v>47.36842105</v>
      </c>
      <c r="N18" s="33">
        <v>0.057</v>
      </c>
      <c r="O18" s="34">
        <f t="shared" si="7"/>
        <v>57.89473684</v>
      </c>
      <c r="P18" s="39">
        <v>0.314</v>
      </c>
      <c r="Q18" s="35">
        <f t="shared" si="8"/>
        <v>80.95238095</v>
      </c>
      <c r="R18" s="24">
        <v>0.6407</v>
      </c>
      <c r="S18" s="35">
        <f t="shared" si="9"/>
        <v>71.42857143</v>
      </c>
      <c r="T18" s="24">
        <v>0.8313</v>
      </c>
      <c r="U18" s="35">
        <f t="shared" si="10"/>
        <v>47.61904762</v>
      </c>
      <c r="V18" s="22">
        <v>25.75</v>
      </c>
      <c r="W18" s="35">
        <f t="shared" si="11"/>
        <v>38.0952381</v>
      </c>
      <c r="X18" s="22">
        <v>-0.01</v>
      </c>
      <c r="Y18" s="35">
        <f t="shared" si="12"/>
        <v>83.33333333</v>
      </c>
      <c r="Z18" s="36">
        <f t="shared" si="13"/>
        <v>72.6566416</v>
      </c>
      <c r="AA18" s="36">
        <f t="shared" si="14"/>
        <v>50.12531328</v>
      </c>
      <c r="AB18" s="36">
        <f t="shared" si="15"/>
        <v>66.66666667</v>
      </c>
      <c r="AC18" s="37">
        <v>77.0</v>
      </c>
      <c r="AD18" s="25">
        <f t="shared" si="16"/>
        <v>64.22418546</v>
      </c>
      <c r="AE18" s="38">
        <f t="shared" si="17"/>
        <v>20</v>
      </c>
    </row>
    <row r="19">
      <c r="A19" s="22" t="s">
        <v>212</v>
      </c>
      <c r="B19" s="22">
        <v>14.5</v>
      </c>
      <c r="C19" s="23">
        <f t="shared" si="1"/>
        <v>38.0952381</v>
      </c>
      <c r="D19" s="24">
        <v>0.0449</v>
      </c>
      <c r="E19" s="25">
        <f t="shared" si="2"/>
        <v>21.05263158</v>
      </c>
      <c r="F19" s="26">
        <v>0.6642</v>
      </c>
      <c r="G19" s="27">
        <f t="shared" si="3"/>
        <v>85.71428571</v>
      </c>
      <c r="H19" s="26">
        <v>0.6642</v>
      </c>
      <c r="I19" s="28">
        <f t="shared" si="4"/>
        <v>85.71428571</v>
      </c>
      <c r="J19" s="29">
        <v>3.0521</v>
      </c>
      <c r="K19" s="30">
        <f t="shared" si="5"/>
        <v>90.47619048</v>
      </c>
      <c r="L19" s="31">
        <v>0.021</v>
      </c>
      <c r="M19" s="32">
        <f t="shared" si="6"/>
        <v>15.78947368</v>
      </c>
      <c r="N19" s="33">
        <v>0.0105</v>
      </c>
      <c r="O19" s="34">
        <f t="shared" si="7"/>
        <v>94.73684211</v>
      </c>
      <c r="P19" s="39">
        <v>0.9101</v>
      </c>
      <c r="Q19" s="35">
        <f t="shared" si="8"/>
        <v>23.80952381</v>
      </c>
      <c r="R19" s="24">
        <v>0.7394</v>
      </c>
      <c r="S19" s="35">
        <f t="shared" si="9"/>
        <v>42.85714286</v>
      </c>
      <c r="T19" s="24">
        <v>0.5658</v>
      </c>
      <c r="U19" s="35">
        <f t="shared" si="10"/>
        <v>23.80952381</v>
      </c>
      <c r="V19" s="22">
        <v>25.73</v>
      </c>
      <c r="W19" s="35">
        <f t="shared" si="11"/>
        <v>33.33333333</v>
      </c>
      <c r="X19" s="22">
        <v>-0.01</v>
      </c>
      <c r="Y19" s="35">
        <f t="shared" si="12"/>
        <v>83.33333333</v>
      </c>
      <c r="Z19" s="36">
        <f t="shared" si="13"/>
        <v>62.78195489</v>
      </c>
      <c r="AA19" s="36">
        <f t="shared" si="14"/>
        <v>58.5839599</v>
      </c>
      <c r="AB19" s="36">
        <f t="shared" si="15"/>
        <v>30.15873016</v>
      </c>
      <c r="AC19" s="37">
        <v>23.0</v>
      </c>
      <c r="AD19" s="25">
        <f t="shared" si="16"/>
        <v>48.82071846</v>
      </c>
      <c r="AE19" s="38">
        <f t="shared" si="17"/>
        <v>6</v>
      </c>
    </row>
    <row r="20">
      <c r="A20" s="22" t="s">
        <v>213</v>
      </c>
      <c r="B20" s="22">
        <v>133.33</v>
      </c>
      <c r="C20" s="23">
        <f t="shared" si="1"/>
        <v>9.523809524</v>
      </c>
      <c r="D20" s="24">
        <v>0.0252</v>
      </c>
      <c r="E20" s="25">
        <f t="shared" si="2"/>
        <v>36.84210526</v>
      </c>
      <c r="F20" s="26">
        <v>0.5436</v>
      </c>
      <c r="G20" s="27">
        <f t="shared" si="3"/>
        <v>80.95238095</v>
      </c>
      <c r="H20" s="26">
        <v>0.5436</v>
      </c>
      <c r="I20" s="28">
        <f t="shared" si="4"/>
        <v>80.95238095</v>
      </c>
      <c r="J20" s="29">
        <v>2.5937</v>
      </c>
      <c r="K20" s="30">
        <f t="shared" si="5"/>
        <v>76.19047619</v>
      </c>
      <c r="L20" s="31">
        <v>0.0</v>
      </c>
      <c r="M20" s="32">
        <f t="shared" si="6"/>
        <v>5.263157895</v>
      </c>
      <c r="N20" s="33">
        <v>0.0</v>
      </c>
      <c r="O20" s="34">
        <f t="shared" si="7"/>
        <v>100</v>
      </c>
      <c r="P20" s="39">
        <v>0.4211</v>
      </c>
      <c r="Q20" s="35">
        <f t="shared" si="8"/>
        <v>71.42857143</v>
      </c>
      <c r="R20" s="24">
        <v>0.9711</v>
      </c>
      <c r="S20" s="35">
        <f t="shared" si="9"/>
        <v>14.28571429</v>
      </c>
      <c r="T20" s="24">
        <v>4.2683</v>
      </c>
      <c r="U20" s="35">
        <f t="shared" si="10"/>
        <v>100</v>
      </c>
      <c r="V20" s="22">
        <v>17.29</v>
      </c>
      <c r="W20" s="35">
        <f t="shared" si="11"/>
        <v>9.523809524</v>
      </c>
      <c r="X20" s="22">
        <v>-0.01</v>
      </c>
      <c r="Y20" s="35">
        <f t="shared" si="12"/>
        <v>83.33333333</v>
      </c>
      <c r="Z20" s="36">
        <f t="shared" si="13"/>
        <v>58.32080201</v>
      </c>
      <c r="AA20" s="36">
        <f t="shared" si="14"/>
        <v>47.7443609</v>
      </c>
      <c r="AB20" s="36">
        <f t="shared" si="15"/>
        <v>61.9047619</v>
      </c>
      <c r="AC20" s="37">
        <v>40.0</v>
      </c>
      <c r="AD20" s="25">
        <f t="shared" si="16"/>
        <v>52.5877193</v>
      </c>
      <c r="AE20" s="38">
        <f t="shared" si="17"/>
        <v>10</v>
      </c>
    </row>
    <row r="21">
      <c r="A21" s="22" t="s">
        <v>214</v>
      </c>
      <c r="B21" s="22">
        <v>6.53</v>
      </c>
      <c r="C21" s="23">
        <f t="shared" si="1"/>
        <v>90.47619048</v>
      </c>
      <c r="D21" s="24">
        <v>-2.4451</v>
      </c>
      <c r="E21" s="25">
        <f t="shared" si="2"/>
        <v>100</v>
      </c>
      <c r="F21" s="26">
        <v>-0.5932</v>
      </c>
      <c r="G21" s="27">
        <f t="shared" si="3"/>
        <v>4.761904762</v>
      </c>
      <c r="H21" s="26">
        <v>-0.5932</v>
      </c>
      <c r="I21" s="28">
        <f t="shared" si="4"/>
        <v>4.761904762</v>
      </c>
      <c r="J21" s="29">
        <v>1.939</v>
      </c>
      <c r="K21" s="30">
        <f t="shared" si="5"/>
        <v>14.28571429</v>
      </c>
      <c r="L21" s="31">
        <v>0.2499</v>
      </c>
      <c r="M21" s="32">
        <f t="shared" si="6"/>
        <v>63.15789474</v>
      </c>
      <c r="N21" s="33">
        <v>0.107</v>
      </c>
      <c r="O21" s="34">
        <f t="shared" si="7"/>
        <v>36.84210526</v>
      </c>
      <c r="P21" s="39">
        <v>0.657</v>
      </c>
      <c r="Q21" s="35">
        <f t="shared" si="8"/>
        <v>42.85714286</v>
      </c>
      <c r="R21" s="24">
        <v>0.6874</v>
      </c>
      <c r="S21" s="35">
        <f t="shared" si="9"/>
        <v>61.9047619</v>
      </c>
      <c r="T21" s="24">
        <v>0.5869</v>
      </c>
      <c r="U21" s="35">
        <f t="shared" si="10"/>
        <v>28.57142857</v>
      </c>
      <c r="V21" s="22">
        <v>27.12</v>
      </c>
      <c r="W21" s="35">
        <f t="shared" si="11"/>
        <v>47.61904762</v>
      </c>
      <c r="X21" s="22">
        <v>0.18</v>
      </c>
      <c r="Y21" s="35">
        <f t="shared" si="12"/>
        <v>33.33333333</v>
      </c>
      <c r="Z21" s="36">
        <f t="shared" si="13"/>
        <v>46.66666667</v>
      </c>
      <c r="AA21" s="36">
        <f t="shared" si="14"/>
        <v>40.47619048</v>
      </c>
      <c r="AB21" s="36">
        <f t="shared" si="15"/>
        <v>44.44444444</v>
      </c>
      <c r="AC21" s="37">
        <v>86.0</v>
      </c>
      <c r="AD21" s="25">
        <f t="shared" si="16"/>
        <v>49.95555556</v>
      </c>
      <c r="AE21" s="38">
        <f t="shared" si="17"/>
        <v>8</v>
      </c>
    </row>
    <row r="22">
      <c r="A22" s="22" t="s">
        <v>215</v>
      </c>
      <c r="B22" s="22">
        <v>17.65</v>
      </c>
      <c r="C22" s="23">
        <f t="shared" si="1"/>
        <v>33.33333333</v>
      </c>
      <c r="D22" s="24">
        <v>0.2638</v>
      </c>
      <c r="E22" s="25">
        <f t="shared" si="2"/>
        <v>5.263157895</v>
      </c>
      <c r="F22" s="26">
        <v>3.3096</v>
      </c>
      <c r="G22" s="27">
        <f t="shared" si="3"/>
        <v>100</v>
      </c>
      <c r="H22" s="26">
        <v>3.3096</v>
      </c>
      <c r="I22" s="28">
        <f t="shared" si="4"/>
        <v>100</v>
      </c>
      <c r="J22" s="29">
        <v>12.378</v>
      </c>
      <c r="K22" s="30">
        <f t="shared" si="5"/>
        <v>100</v>
      </c>
      <c r="L22" s="31">
        <v>0.0039</v>
      </c>
      <c r="M22" s="32">
        <f t="shared" si="6"/>
        <v>10.52631579</v>
      </c>
      <c r="N22" s="33">
        <v>0.0712</v>
      </c>
      <c r="O22" s="34">
        <f t="shared" si="7"/>
        <v>47.36842105</v>
      </c>
      <c r="P22" s="39">
        <v>0.7328</v>
      </c>
      <c r="Q22" s="35">
        <f t="shared" si="8"/>
        <v>28.57142857</v>
      </c>
      <c r="R22" s="24">
        <v>0.3764</v>
      </c>
      <c r="S22" s="35">
        <f t="shared" si="9"/>
        <v>95.23809524</v>
      </c>
      <c r="T22" s="24">
        <v>0.0947</v>
      </c>
      <c r="U22" s="35">
        <f t="shared" si="10"/>
        <v>4.761904762</v>
      </c>
      <c r="V22" s="22">
        <v>100.01</v>
      </c>
      <c r="W22" s="35">
        <f t="shared" si="11"/>
        <v>90.47619048</v>
      </c>
      <c r="X22" s="22">
        <v>0.0</v>
      </c>
      <c r="Y22" s="35">
        <f t="shared" si="12"/>
        <v>66.66666667</v>
      </c>
      <c r="Z22" s="36">
        <f t="shared" si="13"/>
        <v>61.05263158</v>
      </c>
      <c r="AA22" s="36">
        <f t="shared" si="14"/>
        <v>62.09273183</v>
      </c>
      <c r="AB22" s="36">
        <f t="shared" si="15"/>
        <v>42.85714286</v>
      </c>
      <c r="AC22" s="37">
        <v>26.0</v>
      </c>
      <c r="AD22" s="25">
        <f t="shared" si="16"/>
        <v>52.51967419</v>
      </c>
      <c r="AE22" s="38">
        <f t="shared" si="17"/>
        <v>9</v>
      </c>
    </row>
    <row r="23">
      <c r="B23" s="40"/>
      <c r="C23" s="41"/>
      <c r="D23" s="42"/>
      <c r="J23" s="43"/>
      <c r="T23" s="40"/>
      <c r="AA23" s="44"/>
    </row>
    <row r="24">
      <c r="C24" s="41"/>
      <c r="J24" s="44"/>
    </row>
    <row r="25">
      <c r="C25" s="41"/>
      <c r="J25" s="45"/>
    </row>
    <row r="26">
      <c r="C26" s="41"/>
      <c r="J26" s="46"/>
    </row>
    <row r="27">
      <c r="C27" s="41"/>
      <c r="J27" s="45"/>
    </row>
    <row r="28">
      <c r="C28" s="41"/>
      <c r="J28" s="44"/>
    </row>
    <row r="29">
      <c r="C29" s="41"/>
      <c r="J29" s="44"/>
    </row>
    <row r="30">
      <c r="C30" s="41"/>
      <c r="J30" s="44"/>
    </row>
    <row r="31">
      <c r="C31" s="41"/>
      <c r="J31" s="44"/>
    </row>
    <row r="32">
      <c r="C32" s="41"/>
      <c r="J32" s="44"/>
    </row>
    <row r="33">
      <c r="C33" s="41"/>
      <c r="J33" s="44"/>
    </row>
    <row r="34">
      <c r="C34" s="41"/>
      <c r="J34" s="44"/>
    </row>
    <row r="35">
      <c r="C35" s="41"/>
      <c r="J35" s="44"/>
    </row>
    <row r="36">
      <c r="C36" s="41"/>
      <c r="J36" s="44"/>
    </row>
    <row r="37">
      <c r="C37" s="41"/>
      <c r="J37" s="44"/>
    </row>
    <row r="38">
      <c r="C38" s="41"/>
      <c r="J38" s="44"/>
    </row>
    <row r="39">
      <c r="C39" s="41"/>
      <c r="J39" s="44"/>
    </row>
    <row r="40">
      <c r="C40" s="41"/>
      <c r="J40" s="44"/>
    </row>
    <row r="41">
      <c r="C41" s="41"/>
      <c r="J41" s="44"/>
    </row>
    <row r="42">
      <c r="C42" s="41"/>
      <c r="J42" s="44"/>
    </row>
    <row r="43">
      <c r="C43" s="41"/>
      <c r="J43" s="44"/>
    </row>
    <row r="44">
      <c r="C44" s="41"/>
      <c r="J44" s="44"/>
    </row>
    <row r="45">
      <c r="C45" s="41"/>
      <c r="J45" s="44"/>
    </row>
    <row r="46">
      <c r="C46" s="41"/>
      <c r="J46" s="44"/>
    </row>
    <row r="47">
      <c r="C47" s="41"/>
      <c r="J47" s="44"/>
    </row>
    <row r="48">
      <c r="C48" s="41"/>
      <c r="J48" s="44"/>
    </row>
    <row r="49">
      <c r="C49" s="41"/>
      <c r="J49" s="44"/>
    </row>
    <row r="50">
      <c r="C50" s="41"/>
      <c r="J50" s="44"/>
    </row>
    <row r="51">
      <c r="C51" s="41"/>
      <c r="J51" s="44"/>
    </row>
    <row r="52">
      <c r="C52" s="41"/>
      <c r="J52" s="44"/>
    </row>
    <row r="53">
      <c r="C53" s="41"/>
      <c r="J53" s="44"/>
    </row>
    <row r="54">
      <c r="C54" s="41"/>
      <c r="J54" s="44"/>
    </row>
    <row r="55">
      <c r="C55" s="41"/>
      <c r="J55" s="44"/>
    </row>
    <row r="56">
      <c r="C56" s="41"/>
      <c r="J56" s="44"/>
    </row>
    <row r="57">
      <c r="C57" s="41"/>
      <c r="J57" s="44"/>
    </row>
    <row r="58">
      <c r="C58" s="41"/>
      <c r="J58" s="44"/>
    </row>
    <row r="59">
      <c r="C59" s="41"/>
      <c r="J59" s="44"/>
    </row>
    <row r="60">
      <c r="C60" s="41"/>
      <c r="J60" s="44"/>
    </row>
    <row r="61">
      <c r="C61" s="41"/>
      <c r="J61" s="44"/>
    </row>
    <row r="62">
      <c r="C62" s="41"/>
      <c r="J62" s="44"/>
    </row>
    <row r="63">
      <c r="C63" s="41"/>
      <c r="J63" s="44"/>
    </row>
    <row r="64">
      <c r="C64" s="41"/>
      <c r="J64" s="44"/>
    </row>
    <row r="65">
      <c r="C65" s="41"/>
      <c r="J65" s="44"/>
    </row>
    <row r="66">
      <c r="C66" s="41"/>
      <c r="J66" s="44"/>
    </row>
    <row r="67">
      <c r="C67" s="41"/>
      <c r="J67" s="44"/>
    </row>
    <row r="68">
      <c r="C68" s="41"/>
      <c r="J68" s="44"/>
    </row>
    <row r="69">
      <c r="C69" s="41"/>
      <c r="J69" s="44"/>
    </row>
    <row r="70">
      <c r="C70" s="41"/>
      <c r="J70" s="44"/>
    </row>
    <row r="71">
      <c r="C71" s="41"/>
      <c r="J71" s="44"/>
    </row>
    <row r="72">
      <c r="C72" s="41"/>
      <c r="J72" s="44"/>
    </row>
    <row r="73">
      <c r="C73" s="41"/>
      <c r="J73" s="44"/>
    </row>
    <row r="74">
      <c r="C74" s="41"/>
      <c r="J74" s="44"/>
    </row>
    <row r="75">
      <c r="C75" s="41"/>
      <c r="J75" s="44"/>
    </row>
    <row r="76">
      <c r="C76" s="41"/>
      <c r="J76" s="44"/>
    </row>
    <row r="77">
      <c r="C77" s="41"/>
      <c r="J77" s="44"/>
    </row>
    <row r="78">
      <c r="C78" s="41"/>
      <c r="J78" s="44"/>
    </row>
    <row r="79">
      <c r="C79" s="41"/>
      <c r="J79" s="44"/>
    </row>
    <row r="80">
      <c r="C80" s="41"/>
      <c r="J80" s="44"/>
    </row>
    <row r="81">
      <c r="C81" s="41"/>
      <c r="J81" s="44"/>
    </row>
    <row r="82">
      <c r="C82" s="41"/>
      <c r="J82" s="44"/>
    </row>
    <row r="83">
      <c r="C83" s="41"/>
      <c r="J83" s="44"/>
    </row>
    <row r="84">
      <c r="C84" s="41"/>
      <c r="J84" s="44"/>
    </row>
    <row r="85">
      <c r="C85" s="41"/>
      <c r="J85" s="44"/>
    </row>
    <row r="86">
      <c r="C86" s="41"/>
      <c r="J86" s="44"/>
    </row>
    <row r="87">
      <c r="C87" s="41"/>
      <c r="J87" s="44"/>
    </row>
    <row r="88">
      <c r="C88" s="41"/>
      <c r="J88" s="44"/>
    </row>
    <row r="89">
      <c r="C89" s="41"/>
      <c r="J89" s="44"/>
    </row>
    <row r="90">
      <c r="C90" s="41"/>
      <c r="J90" s="44"/>
    </row>
    <row r="91">
      <c r="C91" s="41"/>
      <c r="J91" s="44"/>
    </row>
    <row r="92">
      <c r="C92" s="41"/>
      <c r="J92" s="44"/>
    </row>
    <row r="93">
      <c r="C93" s="41"/>
      <c r="J93" s="44"/>
    </row>
    <row r="94">
      <c r="C94" s="41"/>
      <c r="J94" s="44"/>
    </row>
    <row r="95">
      <c r="C95" s="41"/>
      <c r="J95" s="44"/>
    </row>
    <row r="96">
      <c r="C96" s="41"/>
      <c r="J96" s="44"/>
    </row>
    <row r="97">
      <c r="C97" s="41"/>
      <c r="J97" s="44"/>
    </row>
    <row r="98">
      <c r="C98" s="41"/>
      <c r="J98" s="44"/>
    </row>
    <row r="99">
      <c r="C99" s="41"/>
      <c r="J99" s="44"/>
    </row>
    <row r="100">
      <c r="C100" s="41"/>
      <c r="J100" s="44"/>
    </row>
    <row r="101">
      <c r="C101" s="41"/>
      <c r="J101" s="44"/>
    </row>
    <row r="102">
      <c r="C102" s="41"/>
      <c r="J102" s="44"/>
    </row>
    <row r="103">
      <c r="C103" s="41"/>
      <c r="J103" s="44"/>
    </row>
    <row r="104">
      <c r="C104" s="41"/>
      <c r="J104" s="44"/>
    </row>
    <row r="105">
      <c r="C105" s="41"/>
      <c r="J105" s="44"/>
    </row>
    <row r="106">
      <c r="C106" s="41"/>
      <c r="J106" s="44"/>
    </row>
    <row r="107">
      <c r="C107" s="41"/>
      <c r="J107" s="44"/>
    </row>
    <row r="108">
      <c r="C108" s="41"/>
      <c r="J108" s="44"/>
    </row>
    <row r="109">
      <c r="C109" s="41"/>
      <c r="J109" s="44"/>
    </row>
    <row r="110">
      <c r="C110" s="41"/>
      <c r="J110" s="44"/>
    </row>
    <row r="111">
      <c r="C111" s="41"/>
      <c r="J111" s="44"/>
    </row>
    <row r="112">
      <c r="C112" s="41"/>
      <c r="J112" s="44"/>
    </row>
    <row r="113">
      <c r="C113" s="41"/>
      <c r="J113" s="44"/>
    </row>
    <row r="114">
      <c r="C114" s="41"/>
      <c r="J114" s="44"/>
    </row>
    <row r="115">
      <c r="C115" s="41"/>
      <c r="J115" s="44"/>
    </row>
    <row r="116">
      <c r="C116" s="41"/>
      <c r="J116" s="44"/>
    </row>
    <row r="117">
      <c r="C117" s="41"/>
      <c r="J117" s="44"/>
    </row>
    <row r="118">
      <c r="C118" s="41"/>
      <c r="J118" s="44"/>
    </row>
    <row r="119">
      <c r="C119" s="41"/>
      <c r="J119" s="44"/>
    </row>
    <row r="120">
      <c r="C120" s="41"/>
      <c r="J120" s="44"/>
    </row>
    <row r="121">
      <c r="C121" s="41"/>
      <c r="J121" s="44"/>
    </row>
    <row r="122">
      <c r="C122" s="41"/>
      <c r="J122" s="44"/>
    </row>
    <row r="123">
      <c r="C123" s="41"/>
      <c r="J123" s="44"/>
    </row>
    <row r="124">
      <c r="C124" s="41"/>
      <c r="J124" s="44"/>
    </row>
    <row r="125">
      <c r="C125" s="41"/>
      <c r="J125" s="44"/>
    </row>
    <row r="126">
      <c r="C126" s="41"/>
      <c r="J126" s="44"/>
    </row>
    <row r="127">
      <c r="C127" s="41"/>
      <c r="J127" s="44"/>
    </row>
    <row r="128">
      <c r="C128" s="41"/>
      <c r="J128" s="44"/>
    </row>
    <row r="129">
      <c r="C129" s="41"/>
      <c r="J129" s="44"/>
    </row>
    <row r="130">
      <c r="C130" s="41"/>
      <c r="J130" s="44"/>
    </row>
    <row r="131">
      <c r="C131" s="41"/>
      <c r="J131" s="44"/>
    </row>
    <row r="132">
      <c r="C132" s="41"/>
      <c r="J132" s="44"/>
    </row>
    <row r="133">
      <c r="C133" s="41"/>
      <c r="J133" s="44"/>
    </row>
    <row r="134">
      <c r="C134" s="41"/>
      <c r="J134" s="44"/>
    </row>
    <row r="135">
      <c r="C135" s="41"/>
      <c r="J135" s="44"/>
    </row>
    <row r="136">
      <c r="C136" s="41"/>
      <c r="J136" s="44"/>
    </row>
    <row r="137">
      <c r="C137" s="41"/>
      <c r="J137" s="44"/>
    </row>
    <row r="138">
      <c r="C138" s="41"/>
      <c r="J138" s="44"/>
    </row>
    <row r="139">
      <c r="C139" s="41"/>
      <c r="J139" s="44"/>
    </row>
    <row r="140">
      <c r="C140" s="41"/>
      <c r="J140" s="44"/>
    </row>
    <row r="141">
      <c r="C141" s="41"/>
      <c r="J141" s="44"/>
    </row>
    <row r="142">
      <c r="C142" s="41"/>
      <c r="J142" s="44"/>
    </row>
    <row r="143">
      <c r="C143" s="41"/>
      <c r="J143" s="44"/>
    </row>
    <row r="144">
      <c r="C144" s="41"/>
      <c r="J144" s="44"/>
    </row>
    <row r="145">
      <c r="C145" s="41"/>
      <c r="J145" s="44"/>
    </row>
    <row r="146">
      <c r="C146" s="41"/>
      <c r="J146" s="44"/>
    </row>
    <row r="147">
      <c r="C147" s="41"/>
      <c r="J147" s="44"/>
    </row>
    <row r="148">
      <c r="C148" s="41"/>
      <c r="J148" s="44"/>
    </row>
    <row r="149">
      <c r="C149" s="41"/>
      <c r="J149" s="44"/>
    </row>
    <row r="150">
      <c r="C150" s="41"/>
      <c r="J150" s="44"/>
    </row>
    <row r="151">
      <c r="C151" s="41"/>
      <c r="J151" s="44"/>
    </row>
    <row r="152">
      <c r="C152" s="41"/>
      <c r="J152" s="44"/>
    </row>
    <row r="153">
      <c r="C153" s="41"/>
      <c r="J153" s="44"/>
    </row>
    <row r="154">
      <c r="C154" s="41"/>
      <c r="J154" s="44"/>
    </row>
    <row r="155">
      <c r="C155" s="41"/>
      <c r="J155" s="44"/>
    </row>
    <row r="156">
      <c r="C156" s="41"/>
      <c r="J156" s="44"/>
    </row>
    <row r="157">
      <c r="C157" s="41"/>
      <c r="J157" s="44"/>
    </row>
    <row r="158">
      <c r="C158" s="41"/>
      <c r="J158" s="44"/>
    </row>
    <row r="159">
      <c r="C159" s="41"/>
      <c r="J159" s="44"/>
    </row>
    <row r="160">
      <c r="C160" s="41"/>
      <c r="J160" s="44"/>
    </row>
    <row r="161">
      <c r="C161" s="41"/>
      <c r="J161" s="44"/>
    </row>
    <row r="162">
      <c r="C162" s="41"/>
      <c r="J162" s="44"/>
    </row>
    <row r="163">
      <c r="C163" s="41"/>
      <c r="J163" s="44"/>
    </row>
    <row r="164">
      <c r="C164" s="41"/>
      <c r="J164" s="44"/>
    </row>
    <row r="165">
      <c r="C165" s="41"/>
      <c r="J165" s="44"/>
    </row>
    <row r="166">
      <c r="C166" s="41"/>
      <c r="J166" s="44"/>
    </row>
    <row r="167">
      <c r="C167" s="41"/>
      <c r="J167" s="44"/>
    </row>
    <row r="168">
      <c r="C168" s="41"/>
      <c r="J168" s="44"/>
    </row>
    <row r="169">
      <c r="C169" s="41"/>
      <c r="J169" s="44"/>
    </row>
    <row r="170">
      <c r="C170" s="41"/>
      <c r="J170" s="44"/>
    </row>
    <row r="171">
      <c r="C171" s="41"/>
      <c r="J171" s="44"/>
    </row>
    <row r="172">
      <c r="C172" s="41"/>
      <c r="J172" s="44"/>
    </row>
    <row r="173">
      <c r="C173" s="41"/>
      <c r="J173" s="44"/>
    </row>
    <row r="174">
      <c r="C174" s="41"/>
      <c r="J174" s="44"/>
    </row>
    <row r="175">
      <c r="C175" s="41"/>
      <c r="J175" s="44"/>
    </row>
    <row r="176">
      <c r="C176" s="41"/>
      <c r="J176" s="44"/>
    </row>
    <row r="177">
      <c r="C177" s="41"/>
      <c r="J177" s="44"/>
    </row>
    <row r="178">
      <c r="C178" s="41"/>
      <c r="J178" s="44"/>
    </row>
    <row r="179">
      <c r="C179" s="41"/>
      <c r="J179" s="44"/>
    </row>
    <row r="180">
      <c r="C180" s="41"/>
      <c r="J180" s="44"/>
    </row>
    <row r="181">
      <c r="C181" s="41"/>
      <c r="J181" s="44"/>
    </row>
    <row r="182">
      <c r="C182" s="41"/>
      <c r="J182" s="44"/>
    </row>
    <row r="183">
      <c r="C183" s="41"/>
      <c r="J183" s="44"/>
    </row>
    <row r="184">
      <c r="C184" s="41"/>
      <c r="J184" s="44"/>
    </row>
    <row r="185">
      <c r="C185" s="41"/>
      <c r="J185" s="44"/>
    </row>
    <row r="186">
      <c r="C186" s="41"/>
      <c r="J186" s="44"/>
    </row>
    <row r="187">
      <c r="C187" s="41"/>
      <c r="J187" s="44"/>
    </row>
    <row r="188">
      <c r="C188" s="41"/>
      <c r="J188" s="44"/>
    </row>
    <row r="189">
      <c r="C189" s="41"/>
      <c r="J189" s="44"/>
    </row>
    <row r="190">
      <c r="C190" s="41"/>
      <c r="J190" s="44"/>
    </row>
    <row r="191">
      <c r="C191" s="41"/>
      <c r="J191" s="44"/>
    </row>
    <row r="192">
      <c r="C192" s="41"/>
      <c r="J192" s="44"/>
    </row>
    <row r="193">
      <c r="C193" s="41"/>
      <c r="J193" s="44"/>
    </row>
    <row r="194">
      <c r="C194" s="41"/>
      <c r="J194" s="44"/>
    </row>
    <row r="195">
      <c r="C195" s="41"/>
      <c r="J195" s="44"/>
    </row>
    <row r="196">
      <c r="C196" s="41"/>
      <c r="J196" s="44"/>
    </row>
    <row r="197">
      <c r="C197" s="41"/>
      <c r="J197" s="44"/>
    </row>
    <row r="198">
      <c r="C198" s="41"/>
      <c r="J198" s="44"/>
    </row>
    <row r="199">
      <c r="C199" s="41"/>
      <c r="J199" s="44"/>
    </row>
    <row r="200">
      <c r="C200" s="41"/>
      <c r="J200" s="44"/>
    </row>
    <row r="201">
      <c r="C201" s="41"/>
      <c r="J201" s="44"/>
    </row>
    <row r="202">
      <c r="C202" s="41"/>
      <c r="J202" s="44"/>
    </row>
    <row r="203">
      <c r="C203" s="41"/>
      <c r="J203" s="44"/>
    </row>
    <row r="204">
      <c r="C204" s="41"/>
      <c r="J204" s="44"/>
    </row>
    <row r="205">
      <c r="C205" s="41"/>
      <c r="J205" s="44"/>
    </row>
    <row r="206">
      <c r="C206" s="41"/>
      <c r="J206" s="44"/>
    </row>
    <row r="207">
      <c r="C207" s="41"/>
      <c r="J207" s="44"/>
    </row>
    <row r="208">
      <c r="C208" s="41"/>
      <c r="J208" s="44"/>
    </row>
    <row r="209">
      <c r="C209" s="41"/>
      <c r="J209" s="44"/>
    </row>
    <row r="210">
      <c r="C210" s="41"/>
      <c r="J210" s="44"/>
    </row>
    <row r="211">
      <c r="C211" s="41"/>
      <c r="J211" s="44"/>
    </row>
    <row r="212">
      <c r="C212" s="41"/>
      <c r="J212" s="44"/>
    </row>
    <row r="213">
      <c r="C213" s="41"/>
      <c r="J213" s="44"/>
    </row>
    <row r="214">
      <c r="C214" s="41"/>
      <c r="J214" s="44"/>
    </row>
    <row r="215">
      <c r="C215" s="41"/>
      <c r="J215" s="44"/>
    </row>
    <row r="216">
      <c r="C216" s="41"/>
      <c r="J216" s="44"/>
    </row>
    <row r="217">
      <c r="C217" s="41"/>
      <c r="J217" s="44"/>
    </row>
    <row r="218">
      <c r="C218" s="41"/>
      <c r="J218" s="44"/>
    </row>
    <row r="219">
      <c r="C219" s="41"/>
      <c r="J219" s="44"/>
    </row>
    <row r="220">
      <c r="C220" s="41"/>
      <c r="J220" s="44"/>
    </row>
    <row r="221">
      <c r="C221" s="41"/>
      <c r="J221" s="44"/>
    </row>
    <row r="222">
      <c r="C222" s="41"/>
      <c r="J222" s="44"/>
    </row>
    <row r="223">
      <c r="C223" s="41"/>
      <c r="J223" s="44"/>
    </row>
    <row r="224">
      <c r="C224" s="41"/>
      <c r="J224" s="44"/>
    </row>
    <row r="225">
      <c r="C225" s="41"/>
      <c r="J225" s="44"/>
    </row>
    <row r="226">
      <c r="C226" s="41"/>
      <c r="J226" s="44"/>
    </row>
    <row r="227">
      <c r="C227" s="41"/>
      <c r="J227" s="44"/>
    </row>
    <row r="228">
      <c r="C228" s="41"/>
      <c r="J228" s="44"/>
    </row>
    <row r="229">
      <c r="C229" s="41"/>
      <c r="J229" s="44"/>
    </row>
    <row r="230">
      <c r="C230" s="41"/>
      <c r="J230" s="44"/>
    </row>
    <row r="231">
      <c r="C231" s="41"/>
      <c r="J231" s="44"/>
    </row>
    <row r="232">
      <c r="C232" s="41"/>
      <c r="J232" s="44"/>
    </row>
    <row r="233">
      <c r="C233" s="41"/>
      <c r="J233" s="44"/>
    </row>
    <row r="234">
      <c r="C234" s="41"/>
      <c r="J234" s="44"/>
    </row>
    <row r="235">
      <c r="C235" s="41"/>
      <c r="J235" s="44"/>
    </row>
    <row r="236">
      <c r="C236" s="41"/>
      <c r="J236" s="44"/>
    </row>
    <row r="237">
      <c r="C237" s="41"/>
      <c r="J237" s="44"/>
    </row>
    <row r="238">
      <c r="C238" s="41"/>
      <c r="J238" s="44"/>
    </row>
    <row r="239">
      <c r="C239" s="41"/>
      <c r="J239" s="44"/>
    </row>
    <row r="240">
      <c r="C240" s="41"/>
      <c r="J240" s="44"/>
    </row>
    <row r="241">
      <c r="C241" s="41"/>
      <c r="J241" s="44"/>
    </row>
    <row r="242">
      <c r="C242" s="41"/>
      <c r="J242" s="44"/>
    </row>
    <row r="243">
      <c r="C243" s="41"/>
      <c r="J243" s="44"/>
    </row>
    <row r="244">
      <c r="C244" s="41"/>
      <c r="J244" s="44"/>
    </row>
    <row r="245">
      <c r="C245" s="41"/>
      <c r="J245" s="44"/>
    </row>
    <row r="246">
      <c r="C246" s="41"/>
      <c r="J246" s="44"/>
    </row>
    <row r="247">
      <c r="C247" s="41"/>
      <c r="J247" s="44"/>
    </row>
    <row r="248">
      <c r="C248" s="41"/>
      <c r="J248" s="44"/>
    </row>
    <row r="249">
      <c r="C249" s="41"/>
      <c r="J249" s="44"/>
    </row>
    <row r="250">
      <c r="C250" s="41"/>
      <c r="J250" s="44"/>
    </row>
    <row r="251">
      <c r="C251" s="41"/>
      <c r="J251" s="44"/>
    </row>
    <row r="252">
      <c r="C252" s="41"/>
      <c r="J252" s="44"/>
    </row>
    <row r="253">
      <c r="C253" s="41"/>
      <c r="J253" s="44"/>
    </row>
    <row r="254">
      <c r="C254" s="41"/>
      <c r="J254" s="44"/>
    </row>
    <row r="255">
      <c r="C255" s="41"/>
      <c r="J255" s="44"/>
    </row>
    <row r="256">
      <c r="C256" s="41"/>
      <c r="J256" s="44"/>
    </row>
    <row r="257">
      <c r="C257" s="41"/>
      <c r="J257" s="44"/>
    </row>
    <row r="258">
      <c r="C258" s="41"/>
      <c r="J258" s="44"/>
    </row>
    <row r="259">
      <c r="C259" s="41"/>
      <c r="J259" s="44"/>
    </row>
    <row r="260">
      <c r="C260" s="41"/>
      <c r="J260" s="44"/>
    </row>
    <row r="261">
      <c r="C261" s="41"/>
      <c r="J261" s="44"/>
    </row>
    <row r="262">
      <c r="C262" s="41"/>
      <c r="J262" s="44"/>
    </row>
    <row r="263">
      <c r="C263" s="41"/>
      <c r="J263" s="44"/>
    </row>
    <row r="264">
      <c r="C264" s="41"/>
      <c r="J264" s="44"/>
    </row>
    <row r="265">
      <c r="C265" s="41"/>
      <c r="J265" s="44"/>
    </row>
    <row r="266">
      <c r="C266" s="41"/>
      <c r="J266" s="44"/>
    </row>
    <row r="267">
      <c r="C267" s="41"/>
      <c r="J267" s="44"/>
    </row>
    <row r="268">
      <c r="C268" s="41"/>
      <c r="J268" s="44"/>
    </row>
    <row r="269">
      <c r="C269" s="41"/>
      <c r="J269" s="44"/>
    </row>
    <row r="270">
      <c r="C270" s="41"/>
      <c r="J270" s="44"/>
    </row>
    <row r="271">
      <c r="C271" s="41"/>
      <c r="J271" s="44"/>
    </row>
    <row r="272">
      <c r="C272" s="41"/>
      <c r="J272" s="44"/>
    </row>
    <row r="273">
      <c r="C273" s="41"/>
      <c r="J273" s="44"/>
    </row>
    <row r="274">
      <c r="C274" s="41"/>
      <c r="J274" s="44"/>
    </row>
    <row r="275">
      <c r="C275" s="41"/>
      <c r="J275" s="44"/>
    </row>
    <row r="276">
      <c r="C276" s="41"/>
      <c r="J276" s="44"/>
    </row>
    <row r="277">
      <c r="C277" s="41"/>
      <c r="J277" s="44"/>
    </row>
    <row r="278">
      <c r="C278" s="41"/>
      <c r="J278" s="44"/>
    </row>
    <row r="279">
      <c r="C279" s="41"/>
      <c r="J279" s="44"/>
    </row>
    <row r="280">
      <c r="C280" s="41"/>
      <c r="J280" s="44"/>
    </row>
    <row r="281">
      <c r="C281" s="41"/>
      <c r="J281" s="44"/>
    </row>
    <row r="282">
      <c r="C282" s="41"/>
      <c r="J282" s="44"/>
    </row>
    <row r="283">
      <c r="C283" s="41"/>
      <c r="J283" s="44"/>
    </row>
    <row r="284">
      <c r="C284" s="41"/>
      <c r="J284" s="44"/>
    </row>
    <row r="285">
      <c r="C285" s="41"/>
      <c r="J285" s="44"/>
    </row>
    <row r="286">
      <c r="C286" s="41"/>
      <c r="J286" s="44"/>
    </row>
    <row r="287">
      <c r="C287" s="41"/>
      <c r="J287" s="44"/>
    </row>
    <row r="288">
      <c r="C288" s="41"/>
      <c r="J288" s="44"/>
    </row>
    <row r="289">
      <c r="C289" s="41"/>
      <c r="J289" s="44"/>
    </row>
    <row r="290">
      <c r="C290" s="41"/>
      <c r="J290" s="44"/>
    </row>
    <row r="291">
      <c r="C291" s="41"/>
      <c r="J291" s="44"/>
    </row>
    <row r="292">
      <c r="C292" s="41"/>
      <c r="J292" s="44"/>
    </row>
    <row r="293">
      <c r="C293" s="41"/>
      <c r="J293" s="44"/>
    </row>
    <row r="294">
      <c r="C294" s="41"/>
      <c r="J294" s="44"/>
    </row>
    <row r="295">
      <c r="C295" s="41"/>
      <c r="J295" s="44"/>
    </row>
    <row r="296">
      <c r="C296" s="41"/>
      <c r="J296" s="44"/>
    </row>
    <row r="297">
      <c r="C297" s="41"/>
      <c r="J297" s="44"/>
    </row>
    <row r="298">
      <c r="C298" s="41"/>
      <c r="J298" s="44"/>
    </row>
    <row r="299">
      <c r="C299" s="41"/>
      <c r="J299" s="44"/>
    </row>
    <row r="300">
      <c r="C300" s="41"/>
      <c r="J300" s="44"/>
    </row>
    <row r="301">
      <c r="C301" s="41"/>
      <c r="J301" s="44"/>
    </row>
    <row r="302">
      <c r="C302" s="41"/>
      <c r="J302" s="44"/>
    </row>
    <row r="303">
      <c r="C303" s="41"/>
      <c r="J303" s="44"/>
    </row>
    <row r="304">
      <c r="C304" s="41"/>
      <c r="J304" s="44"/>
    </row>
    <row r="305">
      <c r="C305" s="41"/>
      <c r="J305" s="44"/>
    </row>
    <row r="306">
      <c r="C306" s="41"/>
      <c r="J306" s="44"/>
    </row>
    <row r="307">
      <c r="C307" s="41"/>
      <c r="J307" s="44"/>
    </row>
    <row r="308">
      <c r="C308" s="41"/>
      <c r="J308" s="44"/>
    </row>
    <row r="309">
      <c r="C309" s="41"/>
      <c r="J309" s="44"/>
    </row>
    <row r="310">
      <c r="C310" s="41"/>
      <c r="J310" s="44"/>
    </row>
    <row r="311">
      <c r="C311" s="41"/>
      <c r="J311" s="44"/>
    </row>
    <row r="312">
      <c r="C312" s="41"/>
      <c r="J312" s="44"/>
    </row>
    <row r="313">
      <c r="C313" s="41"/>
      <c r="J313" s="44"/>
    </row>
    <row r="314">
      <c r="C314" s="41"/>
      <c r="J314" s="44"/>
    </row>
    <row r="315">
      <c r="C315" s="41"/>
      <c r="J315" s="44"/>
    </row>
    <row r="316">
      <c r="C316" s="41"/>
      <c r="J316" s="44"/>
    </row>
    <row r="317">
      <c r="C317" s="41"/>
      <c r="J317" s="44"/>
    </row>
    <row r="318">
      <c r="C318" s="41"/>
      <c r="J318" s="44"/>
    </row>
    <row r="319">
      <c r="C319" s="41"/>
      <c r="J319" s="44"/>
    </row>
    <row r="320">
      <c r="C320" s="41"/>
      <c r="J320" s="44"/>
    </row>
    <row r="321">
      <c r="C321" s="41"/>
      <c r="J321" s="44"/>
    </row>
    <row r="322">
      <c r="C322" s="41"/>
      <c r="J322" s="44"/>
    </row>
    <row r="323">
      <c r="C323" s="41"/>
      <c r="J323" s="44"/>
    </row>
    <row r="324">
      <c r="C324" s="41"/>
      <c r="J324" s="44"/>
    </row>
    <row r="325">
      <c r="C325" s="41"/>
      <c r="J325" s="44"/>
    </row>
    <row r="326">
      <c r="C326" s="41"/>
      <c r="J326" s="44"/>
    </row>
    <row r="327">
      <c r="C327" s="41"/>
      <c r="J327" s="44"/>
    </row>
    <row r="328">
      <c r="C328" s="41"/>
      <c r="J328" s="44"/>
    </row>
    <row r="329">
      <c r="C329" s="41"/>
      <c r="J329" s="44"/>
    </row>
    <row r="330">
      <c r="C330" s="41"/>
      <c r="J330" s="44"/>
    </row>
    <row r="331">
      <c r="C331" s="41"/>
      <c r="J331" s="44"/>
    </row>
    <row r="332">
      <c r="C332" s="41"/>
      <c r="J332" s="44"/>
    </row>
    <row r="333">
      <c r="C333" s="41"/>
      <c r="J333" s="44"/>
    </row>
    <row r="334">
      <c r="C334" s="41"/>
      <c r="J334" s="44"/>
    </row>
    <row r="335">
      <c r="C335" s="41"/>
      <c r="J335" s="44"/>
    </row>
    <row r="336">
      <c r="C336" s="41"/>
      <c r="J336" s="44"/>
    </row>
    <row r="337">
      <c r="C337" s="41"/>
      <c r="J337" s="44"/>
    </row>
    <row r="338">
      <c r="C338" s="41"/>
      <c r="J338" s="44"/>
    </row>
    <row r="339">
      <c r="C339" s="41"/>
      <c r="J339" s="44"/>
    </row>
    <row r="340">
      <c r="C340" s="41"/>
      <c r="J340" s="44"/>
    </row>
    <row r="341">
      <c r="C341" s="41"/>
      <c r="J341" s="44"/>
    </row>
    <row r="342">
      <c r="C342" s="41"/>
      <c r="J342" s="44"/>
    </row>
    <row r="343">
      <c r="C343" s="41"/>
      <c r="J343" s="44"/>
    </row>
    <row r="344">
      <c r="C344" s="41"/>
      <c r="J344" s="44"/>
    </row>
    <row r="345">
      <c r="C345" s="41"/>
      <c r="J345" s="44"/>
    </row>
    <row r="346">
      <c r="C346" s="41"/>
      <c r="J346" s="44"/>
    </row>
    <row r="347">
      <c r="C347" s="41"/>
      <c r="J347" s="44"/>
    </row>
    <row r="348">
      <c r="C348" s="41"/>
      <c r="J348" s="44"/>
    </row>
    <row r="349">
      <c r="C349" s="41"/>
      <c r="J349" s="44"/>
    </row>
    <row r="350">
      <c r="C350" s="41"/>
      <c r="J350" s="44"/>
    </row>
    <row r="351">
      <c r="C351" s="41"/>
      <c r="J351" s="44"/>
    </row>
    <row r="352">
      <c r="C352" s="41"/>
      <c r="J352" s="44"/>
    </row>
    <row r="353">
      <c r="C353" s="41"/>
      <c r="J353" s="44"/>
    </row>
    <row r="354">
      <c r="C354" s="41"/>
      <c r="J354" s="44"/>
    </row>
    <row r="355">
      <c r="C355" s="41"/>
      <c r="J355" s="44"/>
    </row>
    <row r="356">
      <c r="C356" s="41"/>
      <c r="J356" s="44"/>
    </row>
    <row r="357">
      <c r="C357" s="41"/>
      <c r="J357" s="44"/>
    </row>
    <row r="358">
      <c r="C358" s="41"/>
      <c r="J358" s="44"/>
    </row>
    <row r="359">
      <c r="C359" s="41"/>
      <c r="J359" s="44"/>
    </row>
    <row r="360">
      <c r="C360" s="41"/>
      <c r="J360" s="44"/>
    </row>
    <row r="361">
      <c r="C361" s="41"/>
      <c r="J361" s="44"/>
    </row>
    <row r="362">
      <c r="C362" s="41"/>
      <c r="J362" s="44"/>
    </row>
    <row r="363">
      <c r="C363" s="41"/>
      <c r="J363" s="44"/>
    </row>
    <row r="364">
      <c r="C364" s="41"/>
      <c r="J364" s="44"/>
    </row>
    <row r="365">
      <c r="C365" s="41"/>
      <c r="J365" s="44"/>
    </row>
    <row r="366">
      <c r="C366" s="41"/>
      <c r="J366" s="44"/>
    </row>
    <row r="367">
      <c r="C367" s="41"/>
      <c r="J367" s="44"/>
    </row>
    <row r="368">
      <c r="C368" s="41"/>
      <c r="J368" s="44"/>
    </row>
    <row r="369">
      <c r="C369" s="41"/>
      <c r="J369" s="44"/>
    </row>
    <row r="370">
      <c r="C370" s="41"/>
      <c r="J370" s="44"/>
    </row>
    <row r="371">
      <c r="C371" s="41"/>
      <c r="J371" s="44"/>
    </row>
    <row r="372">
      <c r="C372" s="41"/>
      <c r="J372" s="44"/>
    </row>
    <row r="373">
      <c r="C373" s="41"/>
      <c r="J373" s="44"/>
    </row>
    <row r="374">
      <c r="C374" s="41"/>
      <c r="J374" s="44"/>
    </row>
    <row r="375">
      <c r="C375" s="41"/>
      <c r="J375" s="44"/>
    </row>
    <row r="376">
      <c r="C376" s="41"/>
      <c r="J376" s="44"/>
    </row>
    <row r="377">
      <c r="C377" s="41"/>
      <c r="J377" s="44"/>
    </row>
    <row r="378">
      <c r="C378" s="41"/>
      <c r="J378" s="44"/>
    </row>
    <row r="379">
      <c r="C379" s="41"/>
      <c r="J379" s="44"/>
    </row>
    <row r="380">
      <c r="C380" s="41"/>
      <c r="J380" s="44"/>
    </row>
    <row r="381">
      <c r="C381" s="41"/>
      <c r="J381" s="44"/>
    </row>
    <row r="382">
      <c r="C382" s="41"/>
      <c r="J382" s="44"/>
    </row>
    <row r="383">
      <c r="C383" s="41"/>
      <c r="J383" s="44"/>
    </row>
    <row r="384">
      <c r="C384" s="41"/>
      <c r="J384" s="44"/>
    </row>
    <row r="385">
      <c r="C385" s="41"/>
      <c r="J385" s="44"/>
    </row>
    <row r="386">
      <c r="C386" s="41"/>
      <c r="J386" s="44"/>
    </row>
    <row r="387">
      <c r="C387" s="41"/>
      <c r="J387" s="44"/>
    </row>
    <row r="388">
      <c r="C388" s="41"/>
      <c r="J388" s="44"/>
    </row>
    <row r="389">
      <c r="C389" s="41"/>
      <c r="J389" s="44"/>
    </row>
    <row r="390">
      <c r="C390" s="41"/>
      <c r="J390" s="44"/>
    </row>
    <row r="391">
      <c r="C391" s="41"/>
      <c r="J391" s="44"/>
    </row>
    <row r="392">
      <c r="C392" s="41"/>
      <c r="J392" s="44"/>
    </row>
    <row r="393">
      <c r="C393" s="41"/>
      <c r="J393" s="44"/>
    </row>
    <row r="394">
      <c r="C394" s="41"/>
      <c r="J394" s="44"/>
    </row>
    <row r="395">
      <c r="C395" s="41"/>
      <c r="J395" s="44"/>
    </row>
    <row r="396">
      <c r="C396" s="41"/>
      <c r="J396" s="44"/>
    </row>
    <row r="397">
      <c r="C397" s="41"/>
      <c r="J397" s="44"/>
    </row>
    <row r="398">
      <c r="C398" s="41"/>
      <c r="J398" s="44"/>
    </row>
    <row r="399">
      <c r="C399" s="41"/>
      <c r="J399" s="44"/>
    </row>
    <row r="400">
      <c r="C400" s="41"/>
      <c r="J400" s="44"/>
    </row>
    <row r="401">
      <c r="C401" s="41"/>
      <c r="J401" s="44"/>
    </row>
    <row r="402">
      <c r="C402" s="41"/>
      <c r="J402" s="44"/>
    </row>
    <row r="403">
      <c r="C403" s="41"/>
      <c r="J403" s="44"/>
    </row>
    <row r="404">
      <c r="C404" s="41"/>
      <c r="J404" s="44"/>
    </row>
    <row r="405">
      <c r="C405" s="41"/>
      <c r="J405" s="44"/>
    </row>
    <row r="406">
      <c r="C406" s="41"/>
      <c r="J406" s="44"/>
    </row>
    <row r="407">
      <c r="C407" s="41"/>
      <c r="J407" s="44"/>
    </row>
    <row r="408">
      <c r="C408" s="41"/>
      <c r="J408" s="44"/>
    </row>
    <row r="409">
      <c r="C409" s="41"/>
      <c r="J409" s="44"/>
    </row>
    <row r="410">
      <c r="C410" s="41"/>
      <c r="J410" s="44"/>
    </row>
    <row r="411">
      <c r="C411" s="41"/>
      <c r="J411" s="44"/>
    </row>
    <row r="412">
      <c r="C412" s="41"/>
      <c r="J412" s="44"/>
    </row>
    <row r="413">
      <c r="C413" s="41"/>
      <c r="J413" s="44"/>
    </row>
    <row r="414">
      <c r="C414" s="41"/>
      <c r="J414" s="44"/>
    </row>
    <row r="415">
      <c r="C415" s="41"/>
      <c r="J415" s="44"/>
    </row>
    <row r="416">
      <c r="C416" s="41"/>
      <c r="J416" s="44"/>
    </row>
    <row r="417">
      <c r="C417" s="41"/>
      <c r="J417" s="44"/>
    </row>
    <row r="418">
      <c r="C418" s="41"/>
      <c r="J418" s="44"/>
    </row>
    <row r="419">
      <c r="C419" s="41"/>
      <c r="J419" s="44"/>
    </row>
    <row r="420">
      <c r="C420" s="41"/>
      <c r="J420" s="44"/>
    </row>
    <row r="421">
      <c r="C421" s="41"/>
      <c r="J421" s="44"/>
    </row>
    <row r="422">
      <c r="C422" s="41"/>
      <c r="J422" s="44"/>
    </row>
    <row r="423">
      <c r="C423" s="41"/>
      <c r="J423" s="44"/>
    </row>
    <row r="424">
      <c r="C424" s="41"/>
      <c r="J424" s="44"/>
    </row>
    <row r="425">
      <c r="C425" s="41"/>
      <c r="J425" s="44"/>
    </row>
    <row r="426">
      <c r="C426" s="41"/>
      <c r="J426" s="44"/>
    </row>
    <row r="427">
      <c r="C427" s="41"/>
      <c r="J427" s="44"/>
    </row>
    <row r="428">
      <c r="C428" s="41"/>
      <c r="J428" s="44"/>
    </row>
    <row r="429">
      <c r="C429" s="41"/>
      <c r="J429" s="44"/>
    </row>
    <row r="430">
      <c r="C430" s="41"/>
      <c r="J430" s="44"/>
    </row>
    <row r="431">
      <c r="C431" s="41"/>
      <c r="J431" s="44"/>
    </row>
    <row r="432">
      <c r="C432" s="41"/>
      <c r="J432" s="44"/>
    </row>
    <row r="433">
      <c r="C433" s="41"/>
      <c r="J433" s="44"/>
    </row>
    <row r="434">
      <c r="C434" s="41"/>
      <c r="J434" s="44"/>
    </row>
    <row r="435">
      <c r="C435" s="41"/>
      <c r="J435" s="44"/>
    </row>
    <row r="436">
      <c r="C436" s="41"/>
      <c r="J436" s="44"/>
    </row>
    <row r="437">
      <c r="C437" s="41"/>
      <c r="J437" s="44"/>
    </row>
    <row r="438">
      <c r="C438" s="41"/>
      <c r="J438" s="44"/>
    </row>
    <row r="439">
      <c r="C439" s="41"/>
      <c r="J439" s="44"/>
    </row>
    <row r="440">
      <c r="C440" s="41"/>
      <c r="J440" s="44"/>
    </row>
    <row r="441">
      <c r="C441" s="41"/>
      <c r="J441" s="44"/>
    </row>
    <row r="442">
      <c r="C442" s="41"/>
      <c r="J442" s="44"/>
    </row>
    <row r="443">
      <c r="C443" s="41"/>
      <c r="J443" s="44"/>
    </row>
    <row r="444">
      <c r="C444" s="41"/>
      <c r="J444" s="44"/>
    </row>
    <row r="445">
      <c r="C445" s="41"/>
      <c r="J445" s="44"/>
    </row>
    <row r="446">
      <c r="C446" s="41"/>
      <c r="J446" s="44"/>
    </row>
    <row r="447">
      <c r="C447" s="41"/>
      <c r="J447" s="44"/>
    </row>
    <row r="448">
      <c r="C448" s="41"/>
      <c r="J448" s="44"/>
    </row>
    <row r="449">
      <c r="C449" s="41"/>
      <c r="J449" s="44"/>
    </row>
    <row r="450">
      <c r="C450" s="41"/>
      <c r="J450" s="44"/>
    </row>
    <row r="451">
      <c r="C451" s="41"/>
      <c r="J451" s="44"/>
    </row>
    <row r="452">
      <c r="C452" s="41"/>
      <c r="J452" s="44"/>
    </row>
    <row r="453">
      <c r="C453" s="41"/>
      <c r="J453" s="44"/>
    </row>
    <row r="454">
      <c r="C454" s="41"/>
      <c r="J454" s="44"/>
    </row>
    <row r="455">
      <c r="C455" s="41"/>
      <c r="J455" s="44"/>
    </row>
    <row r="456">
      <c r="C456" s="41"/>
      <c r="J456" s="44"/>
    </row>
    <row r="457">
      <c r="C457" s="41"/>
      <c r="J457" s="44"/>
    </row>
    <row r="458">
      <c r="C458" s="41"/>
      <c r="J458" s="44"/>
    </row>
    <row r="459">
      <c r="C459" s="41"/>
      <c r="J459" s="44"/>
    </row>
    <row r="460">
      <c r="C460" s="41"/>
      <c r="J460" s="44"/>
    </row>
    <row r="461">
      <c r="C461" s="41"/>
      <c r="J461" s="44"/>
    </row>
    <row r="462">
      <c r="C462" s="41"/>
      <c r="J462" s="44"/>
    </row>
    <row r="463">
      <c r="C463" s="41"/>
      <c r="J463" s="44"/>
    </row>
    <row r="464">
      <c r="C464" s="41"/>
      <c r="J464" s="44"/>
    </row>
    <row r="465">
      <c r="C465" s="41"/>
      <c r="J465" s="44"/>
    </row>
    <row r="466">
      <c r="C466" s="41"/>
      <c r="J466" s="44"/>
    </row>
    <row r="467">
      <c r="C467" s="41"/>
      <c r="J467" s="44"/>
    </row>
    <row r="468">
      <c r="C468" s="41"/>
      <c r="J468" s="44"/>
    </row>
    <row r="469">
      <c r="C469" s="41"/>
      <c r="J469" s="44"/>
    </row>
    <row r="470">
      <c r="C470" s="41"/>
      <c r="J470" s="44"/>
    </row>
    <row r="471">
      <c r="C471" s="41"/>
      <c r="J471" s="44"/>
    </row>
    <row r="472">
      <c r="C472" s="41"/>
      <c r="J472" s="44"/>
    </row>
    <row r="473">
      <c r="C473" s="41"/>
      <c r="J473" s="44"/>
    </row>
    <row r="474">
      <c r="C474" s="41"/>
      <c r="J474" s="44"/>
    </row>
    <row r="475">
      <c r="C475" s="41"/>
      <c r="J475" s="44"/>
    </row>
    <row r="476">
      <c r="C476" s="41"/>
      <c r="J476" s="44"/>
    </row>
    <row r="477">
      <c r="C477" s="41"/>
      <c r="J477" s="44"/>
    </row>
    <row r="478">
      <c r="C478" s="41"/>
      <c r="J478" s="44"/>
    </row>
    <row r="479">
      <c r="C479" s="41"/>
      <c r="J479" s="44"/>
    </row>
    <row r="480">
      <c r="C480" s="41"/>
      <c r="J480" s="44"/>
    </row>
    <row r="481">
      <c r="C481" s="41"/>
      <c r="J481" s="44"/>
    </row>
    <row r="482">
      <c r="C482" s="41"/>
      <c r="J482" s="44"/>
    </row>
    <row r="483">
      <c r="C483" s="41"/>
      <c r="J483" s="44"/>
    </row>
    <row r="484">
      <c r="C484" s="41"/>
      <c r="J484" s="44"/>
    </row>
    <row r="485">
      <c r="C485" s="41"/>
      <c r="J485" s="44"/>
    </row>
    <row r="486">
      <c r="C486" s="41"/>
      <c r="J486" s="44"/>
    </row>
    <row r="487">
      <c r="C487" s="41"/>
      <c r="J487" s="44"/>
    </row>
    <row r="488">
      <c r="C488" s="41"/>
      <c r="J488" s="44"/>
    </row>
    <row r="489">
      <c r="C489" s="41"/>
      <c r="J489" s="44"/>
    </row>
    <row r="490">
      <c r="C490" s="41"/>
      <c r="J490" s="44"/>
    </row>
    <row r="491">
      <c r="C491" s="41"/>
      <c r="J491" s="44"/>
    </row>
    <row r="492">
      <c r="C492" s="41"/>
      <c r="J492" s="44"/>
    </row>
    <row r="493">
      <c r="C493" s="41"/>
      <c r="J493" s="44"/>
    </row>
    <row r="494">
      <c r="C494" s="41"/>
      <c r="J494" s="44"/>
    </row>
    <row r="495">
      <c r="C495" s="41"/>
      <c r="J495" s="44"/>
    </row>
    <row r="496">
      <c r="C496" s="41"/>
      <c r="J496" s="44"/>
    </row>
    <row r="497">
      <c r="C497" s="41"/>
      <c r="J497" s="44"/>
    </row>
    <row r="498">
      <c r="C498" s="41"/>
      <c r="J498" s="44"/>
    </row>
    <row r="499">
      <c r="C499" s="41"/>
      <c r="J499" s="44"/>
    </row>
    <row r="500">
      <c r="C500" s="41"/>
      <c r="J500" s="44"/>
    </row>
    <row r="501">
      <c r="C501" s="41"/>
      <c r="J501" s="44"/>
    </row>
    <row r="502">
      <c r="C502" s="41"/>
      <c r="J502" s="44"/>
    </row>
    <row r="503">
      <c r="C503" s="41"/>
      <c r="J503" s="44"/>
    </row>
    <row r="504">
      <c r="C504" s="41"/>
      <c r="J504" s="44"/>
    </row>
    <row r="505">
      <c r="C505" s="41"/>
      <c r="J505" s="44"/>
    </row>
    <row r="506">
      <c r="C506" s="41"/>
      <c r="J506" s="44"/>
    </row>
    <row r="507">
      <c r="C507" s="41"/>
      <c r="J507" s="44"/>
    </row>
    <row r="508">
      <c r="C508" s="41"/>
      <c r="J508" s="44"/>
    </row>
    <row r="509">
      <c r="C509" s="41"/>
      <c r="J509" s="44"/>
    </row>
    <row r="510">
      <c r="C510" s="41"/>
      <c r="J510" s="44"/>
    </row>
    <row r="511">
      <c r="C511" s="41"/>
      <c r="J511" s="44"/>
    </row>
    <row r="512">
      <c r="C512" s="41"/>
      <c r="J512" s="44"/>
    </row>
    <row r="513">
      <c r="C513" s="41"/>
      <c r="J513" s="44"/>
    </row>
    <row r="514">
      <c r="C514" s="41"/>
      <c r="J514" s="44"/>
    </row>
    <row r="515">
      <c r="C515" s="41"/>
      <c r="J515" s="44"/>
    </row>
    <row r="516">
      <c r="C516" s="41"/>
      <c r="J516" s="44"/>
    </row>
    <row r="517">
      <c r="C517" s="41"/>
      <c r="J517" s="44"/>
    </row>
    <row r="518">
      <c r="C518" s="41"/>
      <c r="J518" s="44"/>
    </row>
    <row r="519">
      <c r="C519" s="41"/>
      <c r="J519" s="44"/>
    </row>
    <row r="520">
      <c r="C520" s="41"/>
      <c r="J520" s="44"/>
    </row>
    <row r="521">
      <c r="C521" s="41"/>
      <c r="J521" s="44"/>
    </row>
    <row r="522">
      <c r="C522" s="41"/>
      <c r="J522" s="44"/>
    </row>
    <row r="523">
      <c r="C523" s="41"/>
      <c r="J523" s="44"/>
    </row>
    <row r="524">
      <c r="C524" s="41"/>
      <c r="J524" s="44"/>
    </row>
    <row r="525">
      <c r="C525" s="41"/>
      <c r="J525" s="44"/>
    </row>
    <row r="526">
      <c r="C526" s="41"/>
      <c r="J526" s="44"/>
    </row>
    <row r="527">
      <c r="C527" s="41"/>
      <c r="J527" s="44"/>
    </row>
    <row r="528">
      <c r="C528" s="41"/>
      <c r="J528" s="44"/>
    </row>
    <row r="529">
      <c r="C529" s="41"/>
      <c r="J529" s="44"/>
    </row>
    <row r="530">
      <c r="C530" s="41"/>
      <c r="J530" s="44"/>
    </row>
    <row r="531">
      <c r="C531" s="41"/>
      <c r="J531" s="44"/>
    </row>
    <row r="532">
      <c r="C532" s="41"/>
      <c r="J532" s="44"/>
    </row>
    <row r="533">
      <c r="C533" s="41"/>
      <c r="J533" s="44"/>
    </row>
    <row r="534">
      <c r="C534" s="41"/>
      <c r="J534" s="44"/>
    </row>
    <row r="535">
      <c r="C535" s="41"/>
      <c r="J535" s="44"/>
    </row>
    <row r="536">
      <c r="C536" s="41"/>
      <c r="J536" s="44"/>
    </row>
    <row r="537">
      <c r="C537" s="41"/>
      <c r="J537" s="44"/>
    </row>
    <row r="538">
      <c r="C538" s="41"/>
      <c r="J538" s="44"/>
    </row>
    <row r="539">
      <c r="C539" s="41"/>
      <c r="J539" s="44"/>
    </row>
    <row r="540">
      <c r="C540" s="41"/>
      <c r="J540" s="44"/>
    </row>
    <row r="541">
      <c r="C541" s="41"/>
      <c r="J541" s="44"/>
    </row>
    <row r="542">
      <c r="C542" s="41"/>
      <c r="J542" s="44"/>
    </row>
    <row r="543">
      <c r="C543" s="41"/>
      <c r="J543" s="44"/>
    </row>
    <row r="544">
      <c r="C544" s="41"/>
      <c r="J544" s="44"/>
    </row>
    <row r="545">
      <c r="C545" s="41"/>
      <c r="J545" s="44"/>
    </row>
    <row r="546">
      <c r="C546" s="41"/>
      <c r="J546" s="44"/>
    </row>
    <row r="547">
      <c r="C547" s="41"/>
      <c r="J547" s="44"/>
    </row>
    <row r="548">
      <c r="C548" s="41"/>
      <c r="J548" s="44"/>
    </row>
    <row r="549">
      <c r="C549" s="41"/>
      <c r="J549" s="44"/>
    </row>
    <row r="550">
      <c r="C550" s="41"/>
      <c r="J550" s="44"/>
    </row>
    <row r="551">
      <c r="C551" s="41"/>
      <c r="J551" s="44"/>
    </row>
    <row r="552">
      <c r="C552" s="41"/>
      <c r="J552" s="44"/>
    </row>
    <row r="553">
      <c r="C553" s="41"/>
      <c r="J553" s="44"/>
    </row>
    <row r="554">
      <c r="C554" s="41"/>
      <c r="J554" s="44"/>
    </row>
    <row r="555">
      <c r="C555" s="41"/>
      <c r="J555" s="44"/>
    </row>
    <row r="556">
      <c r="C556" s="41"/>
      <c r="J556" s="44"/>
    </row>
    <row r="557">
      <c r="C557" s="41"/>
      <c r="J557" s="44"/>
    </row>
    <row r="558">
      <c r="C558" s="41"/>
      <c r="J558" s="44"/>
    </row>
    <row r="559">
      <c r="C559" s="41"/>
      <c r="J559" s="44"/>
    </row>
    <row r="560">
      <c r="C560" s="41"/>
      <c r="J560" s="44"/>
    </row>
    <row r="561">
      <c r="C561" s="41"/>
      <c r="J561" s="44"/>
    </row>
    <row r="562">
      <c r="C562" s="41"/>
      <c r="J562" s="44"/>
    </row>
    <row r="563">
      <c r="C563" s="41"/>
      <c r="J563" s="44"/>
    </row>
    <row r="564">
      <c r="C564" s="41"/>
      <c r="J564" s="44"/>
    </row>
    <row r="565">
      <c r="C565" s="41"/>
      <c r="J565" s="44"/>
    </row>
    <row r="566">
      <c r="C566" s="41"/>
      <c r="J566" s="44"/>
    </row>
    <row r="567">
      <c r="C567" s="41"/>
      <c r="J567" s="44"/>
    </row>
    <row r="568">
      <c r="C568" s="41"/>
      <c r="J568" s="44"/>
    </row>
    <row r="569">
      <c r="C569" s="41"/>
      <c r="J569" s="44"/>
    </row>
    <row r="570">
      <c r="C570" s="41"/>
      <c r="J570" s="44"/>
    </row>
    <row r="571">
      <c r="C571" s="41"/>
      <c r="J571" s="44"/>
    </row>
    <row r="572">
      <c r="C572" s="41"/>
      <c r="J572" s="44"/>
    </row>
    <row r="573">
      <c r="C573" s="41"/>
      <c r="J573" s="44"/>
    </row>
    <row r="574">
      <c r="C574" s="41"/>
      <c r="J574" s="44"/>
    </row>
    <row r="575">
      <c r="C575" s="41"/>
      <c r="J575" s="44"/>
    </row>
    <row r="576">
      <c r="C576" s="41"/>
      <c r="J576" s="44"/>
    </row>
    <row r="577">
      <c r="C577" s="41"/>
      <c r="J577" s="44"/>
    </row>
    <row r="578">
      <c r="C578" s="41"/>
      <c r="J578" s="44"/>
    </row>
    <row r="579">
      <c r="C579" s="41"/>
      <c r="J579" s="44"/>
    </row>
    <row r="580">
      <c r="C580" s="41"/>
      <c r="J580" s="44"/>
    </row>
    <row r="581">
      <c r="C581" s="41"/>
      <c r="J581" s="44"/>
    </row>
    <row r="582">
      <c r="C582" s="41"/>
      <c r="J582" s="44"/>
    </row>
    <row r="583">
      <c r="C583" s="41"/>
      <c r="J583" s="44"/>
    </row>
    <row r="584">
      <c r="C584" s="41"/>
      <c r="J584" s="44"/>
    </row>
    <row r="585">
      <c r="C585" s="41"/>
      <c r="J585" s="44"/>
    </row>
    <row r="586">
      <c r="C586" s="41"/>
      <c r="J586" s="44"/>
    </row>
    <row r="587">
      <c r="C587" s="41"/>
      <c r="J587" s="44"/>
    </row>
    <row r="588">
      <c r="C588" s="41"/>
      <c r="J588" s="44"/>
    </row>
    <row r="589">
      <c r="C589" s="41"/>
      <c r="J589" s="44"/>
    </row>
    <row r="590">
      <c r="C590" s="41"/>
      <c r="J590" s="44"/>
    </row>
    <row r="591">
      <c r="C591" s="41"/>
      <c r="J591" s="44"/>
    </row>
    <row r="592">
      <c r="C592" s="41"/>
      <c r="J592" s="44"/>
    </row>
    <row r="593">
      <c r="C593" s="41"/>
      <c r="J593" s="44"/>
    </row>
    <row r="594">
      <c r="C594" s="41"/>
      <c r="J594" s="44"/>
    </row>
    <row r="595">
      <c r="C595" s="41"/>
      <c r="J595" s="44"/>
    </row>
    <row r="596">
      <c r="C596" s="41"/>
      <c r="J596" s="44"/>
    </row>
    <row r="597">
      <c r="C597" s="41"/>
      <c r="J597" s="44"/>
    </row>
    <row r="598">
      <c r="C598" s="41"/>
      <c r="J598" s="44"/>
    </row>
    <row r="599">
      <c r="C599" s="41"/>
      <c r="J599" s="44"/>
    </row>
    <row r="600">
      <c r="C600" s="41"/>
      <c r="J600" s="44"/>
    </row>
    <row r="601">
      <c r="C601" s="41"/>
      <c r="J601" s="44"/>
    </row>
    <row r="602">
      <c r="C602" s="41"/>
      <c r="J602" s="44"/>
    </row>
    <row r="603">
      <c r="C603" s="41"/>
      <c r="J603" s="44"/>
    </row>
    <row r="604">
      <c r="C604" s="41"/>
      <c r="J604" s="44"/>
    </row>
    <row r="605">
      <c r="C605" s="41"/>
      <c r="J605" s="44"/>
    </row>
    <row r="606">
      <c r="C606" s="41"/>
      <c r="J606" s="44"/>
    </row>
    <row r="607">
      <c r="C607" s="41"/>
      <c r="J607" s="44"/>
    </row>
    <row r="608">
      <c r="C608" s="41"/>
      <c r="J608" s="44"/>
    </row>
    <row r="609">
      <c r="C609" s="41"/>
      <c r="J609" s="44"/>
    </row>
    <row r="610">
      <c r="C610" s="41"/>
      <c r="J610" s="44"/>
    </row>
    <row r="611">
      <c r="C611" s="41"/>
      <c r="J611" s="44"/>
    </row>
    <row r="612">
      <c r="C612" s="41"/>
      <c r="J612" s="44"/>
    </row>
    <row r="613">
      <c r="C613" s="41"/>
      <c r="J613" s="44"/>
    </row>
    <row r="614">
      <c r="C614" s="41"/>
      <c r="J614" s="44"/>
    </row>
    <row r="615">
      <c r="C615" s="41"/>
      <c r="J615" s="44"/>
    </row>
    <row r="616">
      <c r="C616" s="41"/>
      <c r="J616" s="44"/>
    </row>
    <row r="617">
      <c r="C617" s="41"/>
      <c r="J617" s="44"/>
    </row>
    <row r="618">
      <c r="C618" s="41"/>
      <c r="J618" s="44"/>
    </row>
    <row r="619">
      <c r="C619" s="41"/>
      <c r="J619" s="44"/>
    </row>
    <row r="620">
      <c r="C620" s="41"/>
      <c r="J620" s="44"/>
    </row>
    <row r="621">
      <c r="C621" s="41"/>
      <c r="J621" s="44"/>
    </row>
    <row r="622">
      <c r="C622" s="41"/>
      <c r="J622" s="44"/>
    </row>
    <row r="623">
      <c r="C623" s="41"/>
      <c r="J623" s="44"/>
    </row>
    <row r="624">
      <c r="C624" s="41"/>
      <c r="J624" s="44"/>
    </row>
    <row r="625">
      <c r="C625" s="41"/>
      <c r="J625" s="44"/>
    </row>
    <row r="626">
      <c r="C626" s="41"/>
      <c r="J626" s="44"/>
    </row>
    <row r="627">
      <c r="C627" s="41"/>
      <c r="J627" s="44"/>
    </row>
    <row r="628">
      <c r="C628" s="41"/>
      <c r="J628" s="44"/>
    </row>
    <row r="629">
      <c r="C629" s="41"/>
      <c r="J629" s="44"/>
    </row>
    <row r="630">
      <c r="C630" s="41"/>
      <c r="J630" s="44"/>
    </row>
    <row r="631">
      <c r="C631" s="41"/>
      <c r="J631" s="44"/>
    </row>
    <row r="632">
      <c r="C632" s="41"/>
      <c r="J632" s="44"/>
    </row>
    <row r="633">
      <c r="C633" s="41"/>
      <c r="J633" s="44"/>
    </row>
    <row r="634">
      <c r="C634" s="41"/>
      <c r="J634" s="44"/>
    </row>
    <row r="635">
      <c r="C635" s="41"/>
      <c r="J635" s="44"/>
    </row>
    <row r="636">
      <c r="C636" s="41"/>
      <c r="J636" s="44"/>
    </row>
    <row r="637">
      <c r="C637" s="41"/>
      <c r="J637" s="44"/>
    </row>
    <row r="638">
      <c r="C638" s="41"/>
      <c r="J638" s="44"/>
    </row>
    <row r="639">
      <c r="C639" s="41"/>
      <c r="J639" s="44"/>
    </row>
    <row r="640">
      <c r="C640" s="41"/>
      <c r="J640" s="44"/>
    </row>
    <row r="641">
      <c r="C641" s="41"/>
      <c r="J641" s="44"/>
    </row>
    <row r="642">
      <c r="C642" s="41"/>
      <c r="J642" s="44"/>
    </row>
    <row r="643">
      <c r="C643" s="41"/>
      <c r="J643" s="44"/>
    </row>
    <row r="644">
      <c r="C644" s="41"/>
      <c r="J644" s="44"/>
    </row>
    <row r="645">
      <c r="C645" s="41"/>
      <c r="J645" s="44"/>
    </row>
    <row r="646">
      <c r="C646" s="41"/>
      <c r="J646" s="44"/>
    </row>
    <row r="647">
      <c r="C647" s="41"/>
      <c r="J647" s="44"/>
    </row>
    <row r="648">
      <c r="C648" s="41"/>
      <c r="J648" s="44"/>
    </row>
    <row r="649">
      <c r="C649" s="41"/>
      <c r="J649" s="44"/>
    </row>
    <row r="650">
      <c r="C650" s="41"/>
      <c r="J650" s="44"/>
    </row>
    <row r="651">
      <c r="C651" s="41"/>
      <c r="J651" s="44"/>
    </row>
    <row r="652">
      <c r="C652" s="41"/>
      <c r="J652" s="44"/>
    </row>
    <row r="653">
      <c r="C653" s="41"/>
      <c r="J653" s="44"/>
    </row>
    <row r="654">
      <c r="C654" s="41"/>
      <c r="J654" s="44"/>
    </row>
    <row r="655">
      <c r="C655" s="41"/>
      <c r="J655" s="44"/>
    </row>
    <row r="656">
      <c r="C656" s="41"/>
      <c r="J656" s="44"/>
    </row>
    <row r="657">
      <c r="C657" s="41"/>
      <c r="J657" s="44"/>
    </row>
    <row r="658">
      <c r="C658" s="41"/>
      <c r="J658" s="44"/>
    </row>
    <row r="659">
      <c r="C659" s="41"/>
      <c r="J659" s="44"/>
    </row>
    <row r="660">
      <c r="C660" s="41"/>
      <c r="J660" s="44"/>
    </row>
    <row r="661">
      <c r="C661" s="41"/>
      <c r="J661" s="44"/>
    </row>
    <row r="662">
      <c r="C662" s="41"/>
      <c r="J662" s="44"/>
    </row>
    <row r="663">
      <c r="C663" s="41"/>
      <c r="J663" s="44"/>
    </row>
    <row r="664">
      <c r="C664" s="41"/>
      <c r="J664" s="44"/>
    </row>
    <row r="665">
      <c r="C665" s="41"/>
      <c r="J665" s="44"/>
    </row>
    <row r="666">
      <c r="C666" s="41"/>
      <c r="J666" s="44"/>
    </row>
    <row r="667">
      <c r="C667" s="41"/>
      <c r="J667" s="44"/>
    </row>
    <row r="668">
      <c r="C668" s="41"/>
      <c r="J668" s="44"/>
    </row>
    <row r="669">
      <c r="C669" s="41"/>
      <c r="J669" s="44"/>
    </row>
    <row r="670">
      <c r="C670" s="41"/>
      <c r="J670" s="44"/>
    </row>
    <row r="671">
      <c r="C671" s="41"/>
      <c r="J671" s="44"/>
    </row>
    <row r="672">
      <c r="C672" s="41"/>
      <c r="J672" s="44"/>
    </row>
    <row r="673">
      <c r="C673" s="41"/>
      <c r="J673" s="44"/>
    </row>
    <row r="674">
      <c r="C674" s="41"/>
      <c r="J674" s="44"/>
    </row>
    <row r="675">
      <c r="C675" s="41"/>
      <c r="J675" s="44"/>
    </row>
    <row r="676">
      <c r="C676" s="41"/>
      <c r="J676" s="44"/>
    </row>
    <row r="677">
      <c r="C677" s="41"/>
      <c r="J677" s="44"/>
    </row>
    <row r="678">
      <c r="C678" s="41"/>
      <c r="J678" s="44"/>
    </row>
    <row r="679">
      <c r="C679" s="41"/>
      <c r="J679" s="44"/>
    </row>
    <row r="680">
      <c r="C680" s="41"/>
      <c r="J680" s="44"/>
    </row>
    <row r="681">
      <c r="C681" s="41"/>
      <c r="J681" s="44"/>
    </row>
    <row r="682">
      <c r="C682" s="41"/>
      <c r="J682" s="44"/>
    </row>
    <row r="683">
      <c r="C683" s="41"/>
      <c r="J683" s="44"/>
    </row>
    <row r="684">
      <c r="C684" s="41"/>
      <c r="J684" s="44"/>
    </row>
    <row r="685">
      <c r="C685" s="41"/>
      <c r="J685" s="44"/>
    </row>
    <row r="686">
      <c r="C686" s="41"/>
      <c r="J686" s="44"/>
    </row>
    <row r="687">
      <c r="C687" s="41"/>
      <c r="J687" s="44"/>
    </row>
    <row r="688">
      <c r="C688" s="41"/>
      <c r="J688" s="44"/>
    </row>
    <row r="689">
      <c r="C689" s="41"/>
      <c r="J689" s="44"/>
    </row>
    <row r="690">
      <c r="C690" s="41"/>
      <c r="J690" s="44"/>
    </row>
    <row r="691">
      <c r="C691" s="41"/>
      <c r="J691" s="44"/>
    </row>
    <row r="692">
      <c r="C692" s="41"/>
      <c r="J692" s="44"/>
    </row>
    <row r="693">
      <c r="C693" s="41"/>
      <c r="J693" s="44"/>
    </row>
    <row r="694">
      <c r="C694" s="41"/>
      <c r="J694" s="44"/>
    </row>
    <row r="695">
      <c r="C695" s="41"/>
      <c r="J695" s="44"/>
    </row>
    <row r="696">
      <c r="C696" s="41"/>
      <c r="J696" s="44"/>
    </row>
    <row r="697">
      <c r="C697" s="41"/>
      <c r="J697" s="44"/>
    </row>
    <row r="698">
      <c r="C698" s="41"/>
      <c r="J698" s="44"/>
    </row>
    <row r="699">
      <c r="C699" s="41"/>
      <c r="J699" s="44"/>
    </row>
    <row r="700">
      <c r="C700" s="41"/>
      <c r="J700" s="44"/>
    </row>
    <row r="701">
      <c r="C701" s="41"/>
      <c r="J701" s="44"/>
    </row>
    <row r="702">
      <c r="C702" s="41"/>
      <c r="J702" s="44"/>
    </row>
    <row r="703">
      <c r="C703" s="41"/>
      <c r="J703" s="44"/>
    </row>
    <row r="704">
      <c r="C704" s="41"/>
      <c r="J704" s="44"/>
    </row>
    <row r="705">
      <c r="C705" s="41"/>
      <c r="J705" s="44"/>
    </row>
    <row r="706">
      <c r="C706" s="41"/>
      <c r="J706" s="44"/>
    </row>
    <row r="707">
      <c r="C707" s="41"/>
      <c r="J707" s="44"/>
    </row>
    <row r="708">
      <c r="C708" s="41"/>
      <c r="J708" s="44"/>
    </row>
    <row r="709">
      <c r="C709" s="41"/>
      <c r="J709" s="44"/>
    </row>
    <row r="710">
      <c r="C710" s="41"/>
      <c r="J710" s="44"/>
    </row>
    <row r="711">
      <c r="C711" s="41"/>
      <c r="J711" s="44"/>
    </row>
    <row r="712">
      <c r="C712" s="41"/>
      <c r="J712" s="44"/>
    </row>
    <row r="713">
      <c r="C713" s="41"/>
      <c r="J713" s="44"/>
    </row>
    <row r="714">
      <c r="C714" s="41"/>
      <c r="J714" s="44"/>
    </row>
    <row r="715">
      <c r="C715" s="41"/>
      <c r="J715" s="44"/>
    </row>
    <row r="716">
      <c r="C716" s="41"/>
      <c r="J716" s="44"/>
    </row>
    <row r="717">
      <c r="C717" s="41"/>
      <c r="J717" s="44"/>
    </row>
    <row r="718">
      <c r="C718" s="41"/>
      <c r="J718" s="44"/>
    </row>
    <row r="719">
      <c r="C719" s="41"/>
      <c r="J719" s="44"/>
    </row>
    <row r="720">
      <c r="C720" s="41"/>
      <c r="J720" s="44"/>
    </row>
    <row r="721">
      <c r="C721" s="41"/>
      <c r="J721" s="44"/>
    </row>
    <row r="722">
      <c r="C722" s="41"/>
      <c r="J722" s="44"/>
    </row>
    <row r="723">
      <c r="C723" s="41"/>
      <c r="J723" s="44"/>
    </row>
    <row r="724">
      <c r="C724" s="41"/>
      <c r="J724" s="44"/>
    </row>
    <row r="725">
      <c r="C725" s="41"/>
      <c r="J725" s="44"/>
    </row>
    <row r="726">
      <c r="C726" s="41"/>
      <c r="J726" s="44"/>
    </row>
    <row r="727">
      <c r="C727" s="41"/>
      <c r="J727" s="44"/>
    </row>
    <row r="728">
      <c r="C728" s="41"/>
      <c r="J728" s="44"/>
    </row>
    <row r="729">
      <c r="C729" s="41"/>
      <c r="J729" s="44"/>
    </row>
    <row r="730">
      <c r="C730" s="41"/>
      <c r="J730" s="44"/>
    </row>
    <row r="731">
      <c r="C731" s="41"/>
      <c r="J731" s="44"/>
    </row>
    <row r="732">
      <c r="C732" s="41"/>
      <c r="J732" s="44"/>
    </row>
    <row r="733">
      <c r="C733" s="41"/>
      <c r="J733" s="44"/>
    </row>
    <row r="734">
      <c r="C734" s="41"/>
      <c r="J734" s="44"/>
    </row>
    <row r="735">
      <c r="C735" s="41"/>
      <c r="J735" s="44"/>
    </row>
    <row r="736">
      <c r="C736" s="41"/>
      <c r="J736" s="44"/>
    </row>
    <row r="737">
      <c r="C737" s="41"/>
      <c r="J737" s="44"/>
    </row>
    <row r="738">
      <c r="C738" s="41"/>
      <c r="J738" s="44"/>
    </row>
    <row r="739">
      <c r="C739" s="41"/>
      <c r="J739" s="44"/>
    </row>
    <row r="740">
      <c r="C740" s="41"/>
      <c r="J740" s="44"/>
    </row>
    <row r="741">
      <c r="C741" s="41"/>
      <c r="J741" s="44"/>
    </row>
    <row r="742">
      <c r="C742" s="41"/>
      <c r="J742" s="44"/>
    </row>
    <row r="743">
      <c r="C743" s="41"/>
      <c r="J743" s="44"/>
    </row>
    <row r="744">
      <c r="C744" s="41"/>
      <c r="J744" s="44"/>
    </row>
    <row r="745">
      <c r="C745" s="41"/>
      <c r="J745" s="44"/>
    </row>
    <row r="746">
      <c r="C746" s="41"/>
      <c r="J746" s="44"/>
    </row>
    <row r="747">
      <c r="C747" s="41"/>
      <c r="J747" s="44"/>
    </row>
    <row r="748">
      <c r="C748" s="41"/>
      <c r="J748" s="44"/>
    </row>
    <row r="749">
      <c r="C749" s="41"/>
      <c r="J749" s="44"/>
    </row>
    <row r="750">
      <c r="C750" s="41"/>
      <c r="J750" s="44"/>
    </row>
    <row r="751">
      <c r="C751" s="41"/>
      <c r="J751" s="44"/>
    </row>
    <row r="752">
      <c r="C752" s="41"/>
      <c r="J752" s="44"/>
    </row>
    <row r="753">
      <c r="C753" s="41"/>
      <c r="J753" s="44"/>
    </row>
    <row r="754">
      <c r="C754" s="41"/>
      <c r="J754" s="44"/>
    </row>
    <row r="755">
      <c r="C755" s="41"/>
      <c r="J755" s="44"/>
    </row>
    <row r="756">
      <c r="C756" s="41"/>
      <c r="J756" s="44"/>
    </row>
    <row r="757">
      <c r="C757" s="41"/>
      <c r="J757" s="44"/>
    </row>
    <row r="758">
      <c r="C758" s="41"/>
      <c r="J758" s="44"/>
    </row>
    <row r="759">
      <c r="C759" s="41"/>
      <c r="J759" s="44"/>
    </row>
    <row r="760">
      <c r="C760" s="41"/>
      <c r="J760" s="44"/>
    </row>
    <row r="761">
      <c r="C761" s="41"/>
      <c r="J761" s="44"/>
    </row>
    <row r="762">
      <c r="C762" s="41"/>
      <c r="J762" s="44"/>
    </row>
    <row r="763">
      <c r="C763" s="41"/>
      <c r="J763" s="44"/>
    </row>
    <row r="764">
      <c r="C764" s="41"/>
      <c r="J764" s="44"/>
    </row>
    <row r="765">
      <c r="C765" s="41"/>
      <c r="J765" s="44"/>
    </row>
    <row r="766">
      <c r="C766" s="41"/>
      <c r="J766" s="44"/>
    </row>
    <row r="767">
      <c r="C767" s="41"/>
      <c r="J767" s="44"/>
    </row>
    <row r="768">
      <c r="C768" s="41"/>
      <c r="J768" s="44"/>
    </row>
    <row r="769">
      <c r="C769" s="41"/>
      <c r="J769" s="44"/>
    </row>
    <row r="770">
      <c r="C770" s="41"/>
      <c r="J770" s="44"/>
    </row>
    <row r="771">
      <c r="C771" s="41"/>
      <c r="J771" s="44"/>
    </row>
    <row r="772">
      <c r="C772" s="41"/>
      <c r="J772" s="44"/>
    </row>
    <row r="773">
      <c r="C773" s="41"/>
      <c r="J773" s="44"/>
    </row>
    <row r="774">
      <c r="C774" s="41"/>
      <c r="J774" s="44"/>
    </row>
    <row r="775">
      <c r="C775" s="41"/>
      <c r="J775" s="44"/>
    </row>
    <row r="776">
      <c r="C776" s="41"/>
      <c r="J776" s="44"/>
    </row>
    <row r="777">
      <c r="C777" s="41"/>
      <c r="J777" s="44"/>
    </row>
    <row r="778">
      <c r="C778" s="41"/>
      <c r="J778" s="44"/>
    </row>
    <row r="779">
      <c r="C779" s="41"/>
      <c r="J779" s="44"/>
    </row>
    <row r="780">
      <c r="C780" s="41"/>
      <c r="J780" s="44"/>
    </row>
    <row r="781">
      <c r="C781" s="41"/>
      <c r="J781" s="44"/>
    </row>
    <row r="782">
      <c r="C782" s="41"/>
      <c r="J782" s="44"/>
    </row>
    <row r="783">
      <c r="C783" s="41"/>
      <c r="J783" s="44"/>
    </row>
    <row r="784">
      <c r="C784" s="41"/>
      <c r="J784" s="44"/>
    </row>
    <row r="785">
      <c r="C785" s="41"/>
      <c r="J785" s="44"/>
    </row>
    <row r="786">
      <c r="C786" s="41"/>
      <c r="J786" s="44"/>
    </row>
    <row r="787">
      <c r="C787" s="41"/>
      <c r="J787" s="44"/>
    </row>
    <row r="788">
      <c r="C788" s="41"/>
      <c r="J788" s="44"/>
    </row>
    <row r="789">
      <c r="C789" s="41"/>
      <c r="J789" s="44"/>
    </row>
    <row r="790">
      <c r="C790" s="41"/>
      <c r="J790" s="44"/>
    </row>
    <row r="791">
      <c r="C791" s="41"/>
      <c r="J791" s="44"/>
    </row>
    <row r="792">
      <c r="C792" s="41"/>
      <c r="J792" s="44"/>
    </row>
    <row r="793">
      <c r="C793" s="41"/>
      <c r="J793" s="44"/>
    </row>
    <row r="794">
      <c r="C794" s="41"/>
      <c r="J794" s="44"/>
    </row>
    <row r="795">
      <c r="C795" s="41"/>
      <c r="J795" s="44"/>
    </row>
    <row r="796">
      <c r="C796" s="41"/>
      <c r="J796" s="44"/>
    </row>
    <row r="797">
      <c r="C797" s="41"/>
      <c r="J797" s="44"/>
    </row>
    <row r="798">
      <c r="C798" s="41"/>
      <c r="J798" s="44"/>
    </row>
    <row r="799">
      <c r="C799" s="41"/>
      <c r="J799" s="44"/>
    </row>
    <row r="800">
      <c r="C800" s="41"/>
      <c r="J800" s="44"/>
    </row>
    <row r="801">
      <c r="C801" s="41"/>
      <c r="J801" s="44"/>
    </row>
    <row r="802">
      <c r="C802" s="41"/>
      <c r="J802" s="44"/>
    </row>
    <row r="803">
      <c r="C803" s="41"/>
      <c r="J803" s="44"/>
    </row>
    <row r="804">
      <c r="C804" s="41"/>
      <c r="J804" s="44"/>
    </row>
    <row r="805">
      <c r="C805" s="41"/>
      <c r="J805" s="44"/>
    </row>
    <row r="806">
      <c r="C806" s="41"/>
      <c r="J806" s="44"/>
    </row>
    <row r="807">
      <c r="C807" s="41"/>
      <c r="J807" s="44"/>
    </row>
    <row r="808">
      <c r="C808" s="41"/>
      <c r="J808" s="44"/>
    </row>
    <row r="809">
      <c r="C809" s="41"/>
      <c r="J809" s="44"/>
    </row>
    <row r="810">
      <c r="C810" s="41"/>
      <c r="J810" s="44"/>
    </row>
    <row r="811">
      <c r="C811" s="41"/>
      <c r="J811" s="44"/>
    </row>
    <row r="812">
      <c r="C812" s="41"/>
      <c r="J812" s="44"/>
    </row>
    <row r="813">
      <c r="C813" s="41"/>
      <c r="J813" s="44"/>
    </row>
    <row r="814">
      <c r="C814" s="41"/>
      <c r="J814" s="44"/>
    </row>
    <row r="815">
      <c r="C815" s="41"/>
      <c r="J815" s="44"/>
    </row>
    <row r="816">
      <c r="C816" s="41"/>
      <c r="J816" s="44"/>
    </row>
    <row r="817">
      <c r="C817" s="41"/>
      <c r="J817" s="44"/>
    </row>
    <row r="818">
      <c r="C818" s="41"/>
      <c r="J818" s="44"/>
    </row>
    <row r="819">
      <c r="C819" s="41"/>
      <c r="J819" s="44"/>
    </row>
    <row r="820">
      <c r="C820" s="41"/>
      <c r="J820" s="44"/>
    </row>
    <row r="821">
      <c r="C821" s="41"/>
      <c r="J821" s="44"/>
    </row>
    <row r="822">
      <c r="C822" s="41"/>
      <c r="J822" s="44"/>
    </row>
    <row r="823">
      <c r="C823" s="41"/>
      <c r="J823" s="44"/>
    </row>
    <row r="824">
      <c r="C824" s="41"/>
      <c r="J824" s="44"/>
    </row>
    <row r="825">
      <c r="C825" s="41"/>
      <c r="J825" s="44"/>
    </row>
    <row r="826">
      <c r="C826" s="41"/>
      <c r="J826" s="44"/>
    </row>
    <row r="827">
      <c r="C827" s="41"/>
      <c r="J827" s="44"/>
    </row>
    <row r="828">
      <c r="C828" s="41"/>
      <c r="J828" s="44"/>
    </row>
    <row r="829">
      <c r="C829" s="41"/>
      <c r="J829" s="44"/>
    </row>
    <row r="830">
      <c r="C830" s="41"/>
      <c r="J830" s="44"/>
    </row>
    <row r="831">
      <c r="C831" s="41"/>
      <c r="J831" s="44"/>
    </row>
    <row r="832">
      <c r="C832" s="41"/>
      <c r="J832" s="44"/>
    </row>
    <row r="833">
      <c r="C833" s="41"/>
      <c r="J833" s="44"/>
    </row>
    <row r="834">
      <c r="C834" s="41"/>
      <c r="J834" s="44"/>
    </row>
    <row r="835">
      <c r="C835" s="41"/>
      <c r="J835" s="44"/>
    </row>
    <row r="836">
      <c r="C836" s="41"/>
      <c r="J836" s="44"/>
    </row>
    <row r="837">
      <c r="C837" s="41"/>
      <c r="J837" s="44"/>
    </row>
    <row r="838">
      <c r="C838" s="41"/>
      <c r="J838" s="44"/>
    </row>
    <row r="839">
      <c r="C839" s="41"/>
      <c r="J839" s="44"/>
    </row>
    <row r="840">
      <c r="C840" s="41"/>
      <c r="J840" s="44"/>
    </row>
    <row r="841">
      <c r="C841" s="41"/>
      <c r="J841" s="44"/>
    </row>
    <row r="842">
      <c r="C842" s="41"/>
      <c r="J842" s="44"/>
    </row>
    <row r="843">
      <c r="C843" s="41"/>
      <c r="J843" s="44"/>
    </row>
    <row r="844">
      <c r="C844" s="41"/>
      <c r="J844" s="44"/>
    </row>
    <row r="845">
      <c r="C845" s="41"/>
      <c r="J845" s="44"/>
    </row>
    <row r="846">
      <c r="C846" s="41"/>
      <c r="J846" s="44"/>
    </row>
    <row r="847">
      <c r="C847" s="41"/>
      <c r="J847" s="44"/>
    </row>
    <row r="848">
      <c r="C848" s="41"/>
      <c r="J848" s="44"/>
    </row>
    <row r="849">
      <c r="C849" s="41"/>
      <c r="J849" s="44"/>
    </row>
    <row r="850">
      <c r="C850" s="41"/>
      <c r="J850" s="44"/>
    </row>
    <row r="851">
      <c r="C851" s="41"/>
      <c r="J851" s="44"/>
    </row>
    <row r="852">
      <c r="C852" s="41"/>
      <c r="J852" s="44"/>
    </row>
    <row r="853">
      <c r="C853" s="41"/>
      <c r="J853" s="44"/>
    </row>
    <row r="854">
      <c r="C854" s="41"/>
      <c r="J854" s="44"/>
    </row>
    <row r="855">
      <c r="C855" s="41"/>
      <c r="J855" s="44"/>
    </row>
    <row r="856">
      <c r="C856" s="41"/>
      <c r="J856" s="44"/>
    </row>
    <row r="857">
      <c r="C857" s="41"/>
      <c r="J857" s="44"/>
    </row>
    <row r="858">
      <c r="C858" s="41"/>
      <c r="J858" s="44"/>
    </row>
    <row r="859">
      <c r="C859" s="41"/>
      <c r="J859" s="44"/>
    </row>
    <row r="860">
      <c r="C860" s="41"/>
      <c r="J860" s="44"/>
    </row>
    <row r="861">
      <c r="C861" s="41"/>
      <c r="J861" s="44"/>
    </row>
    <row r="862">
      <c r="C862" s="41"/>
      <c r="J862" s="44"/>
    </row>
    <row r="863">
      <c r="C863" s="41"/>
      <c r="J863" s="44"/>
    </row>
    <row r="864">
      <c r="C864" s="41"/>
      <c r="J864" s="44"/>
    </row>
    <row r="865">
      <c r="C865" s="41"/>
      <c r="J865" s="44"/>
    </row>
    <row r="866">
      <c r="C866" s="41"/>
      <c r="J866" s="44"/>
    </row>
    <row r="867">
      <c r="C867" s="41"/>
      <c r="J867" s="44"/>
    </row>
    <row r="868">
      <c r="C868" s="41"/>
      <c r="J868" s="44"/>
    </row>
    <row r="869">
      <c r="C869" s="41"/>
      <c r="J869" s="44"/>
    </row>
    <row r="870">
      <c r="C870" s="41"/>
      <c r="J870" s="44"/>
    </row>
    <row r="871">
      <c r="C871" s="41"/>
      <c r="J871" s="44"/>
    </row>
    <row r="872">
      <c r="C872" s="41"/>
      <c r="J872" s="44"/>
    </row>
    <row r="873">
      <c r="C873" s="41"/>
      <c r="J873" s="44"/>
    </row>
    <row r="874">
      <c r="C874" s="41"/>
      <c r="J874" s="44"/>
    </row>
    <row r="875">
      <c r="C875" s="41"/>
      <c r="J875" s="44"/>
    </row>
    <row r="876">
      <c r="C876" s="41"/>
      <c r="J876" s="44"/>
    </row>
    <row r="877">
      <c r="C877" s="41"/>
      <c r="J877" s="44"/>
    </row>
    <row r="878">
      <c r="C878" s="41"/>
      <c r="J878" s="44"/>
    </row>
    <row r="879">
      <c r="C879" s="41"/>
      <c r="J879" s="44"/>
    </row>
    <row r="880">
      <c r="C880" s="41"/>
      <c r="J880" s="44"/>
    </row>
    <row r="881">
      <c r="C881" s="41"/>
      <c r="J881" s="44"/>
    </row>
    <row r="882">
      <c r="C882" s="41"/>
      <c r="J882" s="44"/>
    </row>
    <row r="883">
      <c r="C883" s="41"/>
      <c r="J883" s="44"/>
    </row>
    <row r="884">
      <c r="C884" s="41"/>
      <c r="J884" s="44"/>
    </row>
    <row r="885">
      <c r="C885" s="41"/>
      <c r="J885" s="44"/>
    </row>
    <row r="886">
      <c r="C886" s="41"/>
      <c r="J886" s="44"/>
    </row>
    <row r="887">
      <c r="C887" s="41"/>
      <c r="J887" s="44"/>
    </row>
    <row r="888">
      <c r="C888" s="41"/>
      <c r="J888" s="44"/>
    </row>
    <row r="889">
      <c r="C889" s="41"/>
      <c r="J889" s="44"/>
    </row>
    <row r="890">
      <c r="C890" s="41"/>
      <c r="J890" s="44"/>
    </row>
    <row r="891">
      <c r="C891" s="41"/>
      <c r="J891" s="44"/>
    </row>
    <row r="892">
      <c r="C892" s="41"/>
      <c r="J892" s="44"/>
    </row>
    <row r="893">
      <c r="C893" s="41"/>
      <c r="J893" s="44"/>
    </row>
    <row r="894">
      <c r="C894" s="41"/>
      <c r="J894" s="44"/>
    </row>
    <row r="895">
      <c r="C895" s="41"/>
      <c r="J895" s="44"/>
    </row>
    <row r="896">
      <c r="C896" s="41"/>
      <c r="J896" s="44"/>
    </row>
    <row r="897">
      <c r="C897" s="41"/>
      <c r="J897" s="44"/>
    </row>
    <row r="898">
      <c r="C898" s="41"/>
      <c r="J898" s="44"/>
    </row>
    <row r="899">
      <c r="C899" s="41"/>
      <c r="J899" s="44"/>
    </row>
    <row r="900">
      <c r="C900" s="41"/>
      <c r="J900" s="44"/>
    </row>
    <row r="901">
      <c r="C901" s="41"/>
      <c r="J901" s="44"/>
    </row>
    <row r="902">
      <c r="C902" s="41"/>
      <c r="J902" s="44"/>
    </row>
    <row r="903">
      <c r="C903" s="41"/>
      <c r="J903" s="44"/>
    </row>
    <row r="904">
      <c r="C904" s="41"/>
      <c r="J904" s="44"/>
    </row>
    <row r="905">
      <c r="C905" s="41"/>
      <c r="J905" s="44"/>
    </row>
    <row r="906">
      <c r="C906" s="41"/>
      <c r="J906" s="44"/>
    </row>
    <row r="907">
      <c r="C907" s="41"/>
      <c r="J907" s="44"/>
    </row>
    <row r="908">
      <c r="C908" s="41"/>
      <c r="J908" s="44"/>
    </row>
    <row r="909">
      <c r="C909" s="41"/>
      <c r="J909" s="44"/>
    </row>
    <row r="910">
      <c r="C910" s="41"/>
      <c r="J910" s="44"/>
    </row>
    <row r="911">
      <c r="C911" s="41"/>
      <c r="J911" s="44"/>
    </row>
    <row r="912">
      <c r="C912" s="41"/>
      <c r="J912" s="44"/>
    </row>
    <row r="913">
      <c r="C913" s="41"/>
      <c r="J913" s="44"/>
    </row>
    <row r="914">
      <c r="C914" s="41"/>
      <c r="J914" s="44"/>
    </row>
    <row r="915">
      <c r="C915" s="41"/>
      <c r="J915" s="44"/>
    </row>
    <row r="916">
      <c r="C916" s="41"/>
      <c r="J916" s="44"/>
    </row>
    <row r="917">
      <c r="C917" s="41"/>
      <c r="J917" s="44"/>
    </row>
    <row r="918">
      <c r="C918" s="41"/>
      <c r="J918" s="44"/>
    </row>
    <row r="919">
      <c r="C919" s="41"/>
      <c r="J919" s="44"/>
    </row>
    <row r="920">
      <c r="C920" s="41"/>
      <c r="J920" s="44"/>
    </row>
    <row r="921">
      <c r="C921" s="41"/>
      <c r="J921" s="44"/>
    </row>
    <row r="922">
      <c r="C922" s="41"/>
      <c r="J922" s="44"/>
    </row>
    <row r="923">
      <c r="C923" s="41"/>
      <c r="J923" s="44"/>
    </row>
    <row r="924">
      <c r="C924" s="41"/>
      <c r="J924" s="44"/>
    </row>
    <row r="925">
      <c r="C925" s="41"/>
      <c r="J925" s="44"/>
    </row>
    <row r="926">
      <c r="C926" s="41"/>
      <c r="J926" s="44"/>
    </row>
    <row r="927">
      <c r="C927" s="41"/>
      <c r="J927" s="44"/>
    </row>
    <row r="928">
      <c r="C928" s="41"/>
      <c r="J928" s="44"/>
    </row>
    <row r="929">
      <c r="C929" s="41"/>
      <c r="J929" s="44"/>
    </row>
    <row r="930">
      <c r="C930" s="41"/>
      <c r="J930" s="44"/>
    </row>
    <row r="931">
      <c r="C931" s="41"/>
      <c r="J931" s="44"/>
    </row>
    <row r="932">
      <c r="C932" s="41"/>
      <c r="J932" s="44"/>
    </row>
    <row r="933">
      <c r="C933" s="41"/>
      <c r="J933" s="44"/>
    </row>
    <row r="934">
      <c r="C934" s="41"/>
      <c r="J934" s="44"/>
    </row>
    <row r="935">
      <c r="C935" s="41"/>
      <c r="J935" s="44"/>
    </row>
    <row r="936">
      <c r="C936" s="41"/>
      <c r="J936" s="44"/>
    </row>
    <row r="937">
      <c r="C937" s="41"/>
      <c r="J937" s="44"/>
    </row>
    <row r="938">
      <c r="C938" s="41"/>
      <c r="J938" s="44"/>
    </row>
    <row r="939">
      <c r="C939" s="41"/>
      <c r="J939" s="44"/>
    </row>
    <row r="940">
      <c r="C940" s="41"/>
      <c r="J940" s="44"/>
    </row>
    <row r="941">
      <c r="C941" s="41"/>
      <c r="J941" s="44"/>
    </row>
    <row r="942">
      <c r="C942" s="41"/>
      <c r="J942" s="44"/>
    </row>
    <row r="943">
      <c r="C943" s="41"/>
      <c r="J943" s="44"/>
    </row>
    <row r="944">
      <c r="C944" s="41"/>
      <c r="J944" s="44"/>
    </row>
    <row r="945">
      <c r="C945" s="41"/>
      <c r="J945" s="44"/>
    </row>
    <row r="946">
      <c r="C946" s="41"/>
      <c r="J946" s="44"/>
    </row>
    <row r="947">
      <c r="C947" s="41"/>
      <c r="J947" s="44"/>
    </row>
    <row r="948">
      <c r="C948" s="41"/>
      <c r="J948" s="44"/>
    </row>
    <row r="949">
      <c r="C949" s="41"/>
      <c r="J949" s="44"/>
    </row>
    <row r="950">
      <c r="C950" s="41"/>
      <c r="J950" s="44"/>
    </row>
    <row r="951">
      <c r="C951" s="41"/>
      <c r="J951" s="44"/>
    </row>
    <row r="952">
      <c r="C952" s="41"/>
      <c r="J952" s="44"/>
    </row>
    <row r="953">
      <c r="C953" s="41"/>
      <c r="J953" s="44"/>
    </row>
    <row r="954">
      <c r="C954" s="41"/>
      <c r="J954" s="44"/>
    </row>
    <row r="955">
      <c r="C955" s="41"/>
      <c r="J955" s="44"/>
    </row>
    <row r="956">
      <c r="C956" s="41"/>
      <c r="J956" s="44"/>
    </row>
    <row r="957">
      <c r="C957" s="41"/>
      <c r="J957" s="44"/>
    </row>
    <row r="958">
      <c r="C958" s="41"/>
      <c r="J958" s="44"/>
    </row>
    <row r="959">
      <c r="C959" s="41"/>
      <c r="J959" s="44"/>
    </row>
    <row r="960">
      <c r="C960" s="41"/>
      <c r="J960" s="44"/>
    </row>
    <row r="961">
      <c r="C961" s="41"/>
      <c r="J961" s="44"/>
    </row>
    <row r="962">
      <c r="C962" s="41"/>
      <c r="J962" s="44"/>
    </row>
    <row r="963">
      <c r="C963" s="41"/>
      <c r="J963" s="44"/>
    </row>
    <row r="964">
      <c r="C964" s="41"/>
      <c r="J964" s="44"/>
    </row>
    <row r="965">
      <c r="C965" s="41"/>
      <c r="J965" s="44"/>
    </row>
    <row r="966">
      <c r="C966" s="41"/>
      <c r="J966" s="44"/>
    </row>
    <row r="967">
      <c r="C967" s="41"/>
      <c r="J967" s="44"/>
    </row>
    <row r="968">
      <c r="C968" s="41"/>
      <c r="J968" s="44"/>
    </row>
    <row r="969">
      <c r="C969" s="41"/>
      <c r="J969" s="44"/>
    </row>
    <row r="970">
      <c r="C970" s="41"/>
      <c r="J970" s="44"/>
    </row>
    <row r="971">
      <c r="C971" s="41"/>
      <c r="J971" s="44"/>
    </row>
    <row r="972">
      <c r="C972" s="41"/>
      <c r="J972" s="44"/>
    </row>
    <row r="973">
      <c r="C973" s="41"/>
      <c r="J973" s="44"/>
    </row>
    <row r="974">
      <c r="C974" s="41"/>
      <c r="J974" s="44"/>
    </row>
    <row r="975">
      <c r="C975" s="41"/>
      <c r="J975" s="44"/>
    </row>
    <row r="976">
      <c r="C976" s="41"/>
      <c r="J976" s="44"/>
    </row>
    <row r="977">
      <c r="C977" s="41"/>
      <c r="J977" s="44"/>
    </row>
    <row r="978">
      <c r="C978" s="41"/>
      <c r="J978" s="44"/>
    </row>
    <row r="979">
      <c r="C979" s="41"/>
      <c r="J979" s="44"/>
    </row>
    <row r="980">
      <c r="C980" s="41"/>
      <c r="J980" s="44"/>
    </row>
    <row r="981">
      <c r="C981" s="41"/>
      <c r="J981" s="44"/>
    </row>
    <row r="982">
      <c r="C982" s="41"/>
      <c r="J982" s="44"/>
    </row>
    <row r="983">
      <c r="C983" s="41"/>
      <c r="J983" s="44"/>
    </row>
    <row r="984">
      <c r="C984" s="41"/>
      <c r="J984" s="44"/>
    </row>
    <row r="985">
      <c r="C985" s="41"/>
      <c r="J985" s="44"/>
    </row>
    <row r="986">
      <c r="C986" s="41"/>
      <c r="J986" s="44"/>
    </row>
    <row r="987">
      <c r="C987" s="41"/>
      <c r="J987" s="44"/>
    </row>
    <row r="988">
      <c r="C988" s="41"/>
      <c r="J988" s="44"/>
    </row>
    <row r="989">
      <c r="C989" s="41"/>
      <c r="J989" s="44"/>
    </row>
    <row r="990">
      <c r="C990" s="41"/>
      <c r="J990" s="44"/>
    </row>
    <row r="991">
      <c r="C991" s="41"/>
      <c r="J991" s="44"/>
    </row>
    <row r="992">
      <c r="C992" s="41"/>
      <c r="J992" s="44"/>
    </row>
    <row r="993">
      <c r="C993" s="41"/>
      <c r="J993" s="44"/>
    </row>
    <row r="994">
      <c r="C994" s="41"/>
      <c r="J994" s="44"/>
    </row>
    <row r="995">
      <c r="C995" s="41"/>
      <c r="J995" s="44"/>
    </row>
    <row r="996">
      <c r="C996" s="41"/>
      <c r="J996" s="44"/>
    </row>
    <row r="997">
      <c r="C997" s="41"/>
      <c r="J997" s="44"/>
    </row>
    <row r="998">
      <c r="C998" s="41"/>
      <c r="J998" s="44"/>
    </row>
  </sheetData>
  <drawing r:id="rId1"/>
</worksheet>
</file>